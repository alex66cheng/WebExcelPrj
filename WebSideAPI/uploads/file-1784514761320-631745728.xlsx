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21315" windowHeight="8460"/>
  </bookViews>
  <sheets>
    <sheet name="工作表1" sheetId="1" r:id="rId1"/>
    <sheet name="工作表2" sheetId="2" r:id="rId2"/>
    <sheet name="工作表3" sheetId="3" r:id="rId3"/>
  </sheets>
  <calcPr calcId="144525"/>
</workbook>
</file>

<file path=xl/calcChain.xml><?xml version="1.0" encoding="utf-8"?>
<calcChain xmlns="http://schemas.openxmlformats.org/spreadsheetml/2006/main">
  <c r="J46" i="1" l="1"/>
  <c r="M46" i="1" s="1"/>
  <c r="H46" i="1"/>
  <c r="G46" i="1"/>
  <c r="F46" i="1"/>
  <c r="I46" i="1" s="1"/>
  <c r="T45" i="1"/>
  <c r="S45" i="1"/>
  <c r="R45" i="1"/>
  <c r="U45" i="1" s="1"/>
  <c r="H45" i="1"/>
  <c r="G45" i="1"/>
  <c r="F45" i="1"/>
  <c r="I45" i="1" s="1"/>
  <c r="S44" i="1"/>
  <c r="P44" i="1"/>
  <c r="O44" i="1"/>
  <c r="N44" i="1"/>
  <c r="Q44" i="1" s="1"/>
  <c r="L44" i="1"/>
  <c r="H44" i="1"/>
  <c r="G44" i="1"/>
  <c r="F44" i="1"/>
  <c r="I44" i="1" s="1"/>
  <c r="T34" i="1"/>
  <c r="T46" i="1" s="1"/>
  <c r="S34" i="1"/>
  <c r="S46" i="1" s="1"/>
  <c r="R34" i="1"/>
  <c r="P34" i="1"/>
  <c r="P46" i="1" s="1"/>
  <c r="O34" i="1"/>
  <c r="O46" i="1" s="1"/>
  <c r="N34" i="1"/>
  <c r="N46" i="1" s="1"/>
  <c r="Q46" i="1" s="1"/>
  <c r="M34" i="1"/>
  <c r="L34" i="1"/>
  <c r="L46" i="1" s="1"/>
  <c r="K34" i="1"/>
  <c r="K46" i="1" s="1"/>
  <c r="J34" i="1"/>
  <c r="I34" i="1"/>
  <c r="U33" i="1"/>
  <c r="T33" i="1"/>
  <c r="S33" i="1"/>
  <c r="R33" i="1"/>
  <c r="P33" i="1"/>
  <c r="P45" i="1" s="1"/>
  <c r="O33" i="1"/>
  <c r="O45" i="1" s="1"/>
  <c r="N33" i="1"/>
  <c r="Q33" i="1" s="1"/>
  <c r="L33" i="1"/>
  <c r="L45" i="1" s="1"/>
  <c r="K33" i="1"/>
  <c r="K45" i="1" s="1"/>
  <c r="J33" i="1"/>
  <c r="I33" i="1"/>
  <c r="U32" i="1"/>
  <c r="Q32" i="1"/>
  <c r="M32" i="1"/>
  <c r="I32" i="1"/>
  <c r="V32" i="1" s="1"/>
  <c r="T31" i="1"/>
  <c r="T44" i="1" s="1"/>
  <c r="S31" i="1"/>
  <c r="R31" i="1"/>
  <c r="U31" i="1" s="1"/>
  <c r="P31" i="1"/>
  <c r="O31" i="1"/>
  <c r="N31" i="1"/>
  <c r="Q31" i="1" s="1"/>
  <c r="L31" i="1"/>
  <c r="K31" i="1"/>
  <c r="K44" i="1" s="1"/>
  <c r="J31" i="1"/>
  <c r="J44" i="1" s="1"/>
  <c r="M44" i="1" s="1"/>
  <c r="I31" i="1"/>
  <c r="V27" i="1"/>
  <c r="U27" i="1"/>
  <c r="Q27" i="1"/>
  <c r="M27" i="1"/>
  <c r="I27" i="1"/>
  <c r="U26" i="1"/>
  <c r="Q26" i="1"/>
  <c r="M26" i="1"/>
  <c r="I26" i="1"/>
  <c r="V26" i="1" s="1"/>
  <c r="U25" i="1"/>
  <c r="Q25" i="1"/>
  <c r="M25" i="1"/>
  <c r="I25" i="1"/>
  <c r="U24" i="1"/>
  <c r="Q24" i="1"/>
  <c r="M24" i="1"/>
  <c r="I24" i="1"/>
  <c r="V24" i="1" s="1"/>
  <c r="U23" i="1"/>
  <c r="Q23" i="1"/>
  <c r="M23" i="1"/>
  <c r="I23" i="1"/>
  <c r="V23" i="1" s="1"/>
  <c r="U22" i="1"/>
  <c r="Q22" i="1"/>
  <c r="M22" i="1"/>
  <c r="I22" i="1"/>
  <c r="V22" i="1" s="1"/>
  <c r="U18" i="1"/>
  <c r="M18" i="1"/>
  <c r="I18" i="1"/>
  <c r="U17" i="1"/>
  <c r="Q17" i="1"/>
  <c r="M17" i="1"/>
  <c r="I17" i="1"/>
  <c r="V17" i="1" s="1"/>
  <c r="W11" i="1"/>
  <c r="U11" i="1"/>
  <c r="Q11" i="1"/>
  <c r="M11" i="1"/>
  <c r="V11" i="1" s="1"/>
  <c r="I11" i="1"/>
  <c r="W10" i="1"/>
  <c r="W29" i="1" s="1"/>
  <c r="W48" i="1" s="1"/>
  <c r="U10" i="1"/>
  <c r="Q10" i="1"/>
  <c r="M10" i="1"/>
  <c r="I10" i="1"/>
  <c r="V10" i="1" s="1"/>
  <c r="W9" i="1"/>
  <c r="W28" i="1" s="1"/>
  <c r="W47" i="1" s="1"/>
  <c r="V9" i="1"/>
  <c r="T9" i="1"/>
  <c r="S9" i="1"/>
  <c r="R9" i="1"/>
  <c r="U9" i="1" s="1"/>
  <c r="Q9" i="1"/>
  <c r="M9" i="1"/>
  <c r="I9" i="1"/>
  <c r="R44" i="1" l="1"/>
  <c r="U44" i="1" s="1"/>
  <c r="V44" i="1" s="1"/>
  <c r="Q34" i="1"/>
  <c r="V34" i="1" s="1"/>
  <c r="R46" i="1"/>
  <c r="U46" i="1" s="1"/>
  <c r="V46" i="1" s="1"/>
  <c r="U34" i="1"/>
  <c r="V25" i="1"/>
  <c r="J45" i="1"/>
  <c r="M45" i="1" s="1"/>
  <c r="M33" i="1"/>
  <c r="V33" i="1" s="1"/>
  <c r="M31" i="1"/>
  <c r="V31" i="1" s="1"/>
  <c r="N45" i="1"/>
  <c r="Q45" i="1" s="1"/>
  <c r="V45" i="1" l="1"/>
  <c r="T13" i="1" l="1"/>
  <c r="W13" i="1"/>
  <c r="S13" i="1"/>
  <c r="O13" i="1"/>
  <c r="G13" i="1"/>
  <c r="H13" i="1"/>
  <c r="P13" i="1"/>
  <c r="L13" i="1"/>
  <c r="K13" i="1"/>
  <c r="K7" i="1"/>
  <c r="P7" i="1"/>
  <c r="O7" i="1"/>
  <c r="T7" i="1"/>
  <c r="H7" i="1"/>
  <c r="S7" i="1"/>
  <c r="L7" i="1"/>
  <c r="L19" i="1"/>
  <c r="P18" i="1"/>
  <c r="K19" i="1"/>
  <c r="G19" i="1"/>
  <c r="P19" i="1"/>
  <c r="W19" i="1"/>
  <c r="O18" i="1"/>
  <c r="S19" i="1"/>
  <c r="T19" i="1"/>
  <c r="H19" i="1"/>
  <c r="O19" i="1"/>
  <c r="S12" i="1"/>
  <c r="O12" i="1"/>
  <c r="W12" i="1"/>
  <c r="L12" i="1"/>
  <c r="P12" i="1"/>
  <c r="H12" i="1"/>
  <c r="K12" i="1"/>
  <c r="G12" i="1"/>
  <c r="T12" i="1"/>
  <c r="M30" i="1"/>
  <c r="L21" i="1"/>
  <c r="K21" i="1"/>
  <c r="H21" i="1"/>
  <c r="O21" i="1"/>
  <c r="P21" i="1"/>
  <c r="S21" i="1"/>
  <c r="G21" i="1"/>
  <c r="W21" i="1"/>
  <c r="T21" i="1"/>
  <c r="U20" i="1"/>
  <c r="J21" i="1"/>
  <c r="M21" i="1"/>
  <c r="K49" i="1"/>
  <c r="Q29" i="1"/>
  <c r="N7" i="1"/>
  <c r="Q7" i="1"/>
  <c r="V15" i="1"/>
  <c r="T5" i="1"/>
  <c r="S5" i="1"/>
  <c r="H5" i="1"/>
  <c r="G5" i="1"/>
  <c r="P5" i="1"/>
  <c r="K5" i="1"/>
  <c r="L5" i="1"/>
  <c r="O5" i="1"/>
  <c r="O49" i="1"/>
  <c r="H47" i="1"/>
  <c r="M6" i="1"/>
  <c r="J13" i="1"/>
  <c r="M13" i="1"/>
  <c r="N48" i="1"/>
  <c r="Q48" i="1"/>
  <c r="I15" i="1"/>
  <c r="M15" i="1"/>
  <c r="M28" i="1"/>
  <c r="M4" i="1"/>
  <c r="I29" i="1"/>
  <c r="V29" i="1"/>
  <c r="S8" i="1"/>
  <c r="K8" i="1"/>
  <c r="H8" i="1"/>
  <c r="L8" i="1"/>
  <c r="P8" i="1"/>
  <c r="T8" i="1"/>
  <c r="W14" i="1"/>
  <c r="H14" i="1"/>
  <c r="T14" i="1"/>
  <c r="K14" i="1"/>
  <c r="L14" i="1"/>
  <c r="O14" i="1"/>
  <c r="S14" i="1"/>
  <c r="G14" i="1"/>
  <c r="P14" i="1"/>
  <c r="W49" i="1"/>
  <c r="H48" i="1"/>
  <c r="W16" i="1"/>
  <c r="S16" i="1"/>
  <c r="L16" i="1"/>
  <c r="T16" i="1"/>
  <c r="G16" i="1"/>
  <c r="H16" i="1"/>
  <c r="O16" i="1"/>
  <c r="K16" i="1"/>
  <c r="P16" i="1"/>
  <c r="N21" i="1"/>
  <c r="Q21" i="1"/>
  <c r="Q30" i="1"/>
  <c r="Q6" i="1"/>
  <c r="I16" i="1"/>
  <c r="V16" i="1"/>
  <c r="Q20" i="1"/>
  <c r="U28" i="1"/>
  <c r="U15" i="1"/>
  <c r="M48" i="1"/>
  <c r="V20" i="1"/>
  <c r="I13" i="1"/>
  <c r="V13" i="1"/>
  <c r="U29" i="1"/>
  <c r="R13" i="1"/>
  <c r="U13" i="1"/>
  <c r="V47" i="1"/>
  <c r="K15" i="1"/>
  <c r="K30" i="1"/>
  <c r="J8" i="1"/>
  <c r="M8" i="1"/>
  <c r="L49" i="1"/>
  <c r="N20" i="1"/>
  <c r="P20" i="1"/>
  <c r="I20" i="1"/>
  <c r="T20" i="1"/>
  <c r="K20" i="1"/>
  <c r="H20" i="1"/>
  <c r="O20" i="1"/>
  <c r="L20" i="1"/>
  <c r="W20" i="1"/>
  <c r="G20" i="1"/>
  <c r="S20" i="1"/>
  <c r="R20" i="1"/>
  <c r="T48" i="1"/>
  <c r="J48" i="1"/>
  <c r="J4" i="1"/>
  <c r="J29" i="1"/>
  <c r="M29" i="1"/>
  <c r="U30" i="1"/>
  <c r="V18" i="1"/>
  <c r="Q28" i="1"/>
  <c r="O6" i="1"/>
  <c r="O28" i="1"/>
  <c r="O47" i="1"/>
  <c r="I5" i="1"/>
  <c r="V5" i="1"/>
  <c r="O4" i="1"/>
  <c r="O29" i="1"/>
  <c r="O48" i="1"/>
  <c r="S4" i="1"/>
  <c r="S29" i="1"/>
  <c r="S48" i="1"/>
  <c r="J12" i="1"/>
  <c r="M12" i="1"/>
  <c r="N16" i="1"/>
  <c r="Q16" i="1"/>
  <c r="I28" i="1"/>
  <c r="V28" i="1"/>
  <c r="W15" i="1"/>
  <c r="W30" i="1"/>
  <c r="H4" i="1"/>
  <c r="H29" i="1"/>
  <c r="V49" i="1"/>
  <c r="Q15" i="1"/>
  <c r="N18" i="1"/>
  <c r="Q18" i="1"/>
  <c r="G8" i="1"/>
  <c r="G28" i="1"/>
  <c r="G47" i="1"/>
  <c r="N15" i="1"/>
  <c r="N30" i="1"/>
  <c r="N49" i="1"/>
  <c r="Q49" i="1"/>
  <c r="R14" i="1"/>
  <c r="U14" i="1"/>
  <c r="O15" i="1"/>
  <c r="O30" i="1"/>
  <c r="N6" i="1"/>
  <c r="N28" i="1"/>
  <c r="N47" i="1"/>
  <c r="Q47" i="1"/>
  <c r="U4" i="1"/>
  <c r="J16" i="1"/>
  <c r="M16" i="1"/>
  <c r="K47" i="1"/>
  <c r="F13" i="1"/>
  <c r="N13" i="1"/>
  <c r="Q13" i="1"/>
  <c r="L48" i="1"/>
  <c r="I14" i="1"/>
  <c r="V14" i="1"/>
  <c r="R4" i="1"/>
  <c r="R29" i="1"/>
  <c r="R48" i="1"/>
  <c r="U48" i="1"/>
  <c r="H6" i="1"/>
  <c r="H28" i="1"/>
  <c r="N14" i="1"/>
  <c r="Q14" i="1"/>
  <c r="L4" i="1"/>
  <c r="L29" i="1"/>
  <c r="U6" i="1"/>
  <c r="T6" i="1"/>
  <c r="T28" i="1"/>
  <c r="T47" i="1"/>
  <c r="S15" i="1"/>
  <c r="S30" i="1"/>
  <c r="S49" i="1"/>
  <c r="N19" i="1"/>
  <c r="Q19" i="1"/>
  <c r="K6" i="1"/>
  <c r="K28" i="1"/>
  <c r="J6" i="1"/>
  <c r="J28" i="1"/>
  <c r="J47" i="1"/>
  <c r="M47" i="1"/>
  <c r="I30" i="1"/>
  <c r="V30" i="1"/>
  <c r="I8" i="1"/>
  <c r="V8" i="1"/>
  <c r="I19" i="1"/>
  <c r="V19" i="1"/>
  <c r="Q4" i="1"/>
  <c r="N4" i="1"/>
  <c r="N29" i="1"/>
  <c r="J19" i="1"/>
  <c r="M19" i="1"/>
  <c r="I21" i="1"/>
  <c r="V21" i="1"/>
  <c r="P4" i="1"/>
  <c r="P29" i="1"/>
  <c r="P48" i="1"/>
  <c r="J5" i="1"/>
  <c r="M5" i="1"/>
  <c r="R8" i="1"/>
  <c r="U8" i="1"/>
  <c r="F21" i="1"/>
  <c r="R21" i="1"/>
  <c r="U21" i="1"/>
  <c r="R5" i="1"/>
  <c r="U5" i="1"/>
  <c r="F30" i="1"/>
  <c r="F49" i="1"/>
  <c r="I49" i="1"/>
  <c r="T15" i="1"/>
  <c r="T30" i="1"/>
  <c r="T49" i="1"/>
  <c r="F16" i="1"/>
  <c r="R16" i="1"/>
  <c r="U16" i="1"/>
  <c r="T4" i="1"/>
  <c r="T29" i="1"/>
  <c r="N12" i="1"/>
  <c r="Q12" i="1"/>
  <c r="P6" i="1"/>
  <c r="P28" i="1"/>
  <c r="P47" i="1"/>
  <c r="J7" i="1"/>
  <c r="M7" i="1"/>
  <c r="R6" i="1"/>
  <c r="R28" i="1"/>
  <c r="R47" i="1"/>
  <c r="U47" i="1"/>
  <c r="P15" i="1"/>
  <c r="P30" i="1"/>
  <c r="P49" i="1"/>
  <c r="H15" i="1"/>
  <c r="H30" i="1"/>
  <c r="H49" i="1"/>
  <c r="I6" i="1"/>
  <c r="V6" i="1"/>
  <c r="K4" i="1"/>
  <c r="K29" i="1"/>
  <c r="K48" i="1"/>
  <c r="I12" i="1"/>
  <c r="V12" i="1"/>
  <c r="J15" i="1"/>
  <c r="J30" i="1"/>
  <c r="J49" i="1"/>
  <c r="M49" i="1"/>
  <c r="F5" i="1"/>
  <c r="N5" i="1"/>
  <c r="Q5" i="1"/>
  <c r="F12" i="1"/>
  <c r="R12" i="1"/>
  <c r="U12" i="1"/>
  <c r="F14" i="1"/>
  <c r="J14" i="1"/>
  <c r="M14" i="1"/>
  <c r="F28" i="1"/>
  <c r="F47" i="1"/>
  <c r="I47" i="1"/>
  <c r="L6" i="1"/>
  <c r="L28" i="1"/>
  <c r="L47" i="1"/>
  <c r="F6" i="1"/>
  <c r="S6" i="1"/>
  <c r="S28" i="1"/>
  <c r="S47" i="1"/>
  <c r="R15" i="1"/>
  <c r="R30" i="1"/>
  <c r="R49" i="1"/>
  <c r="U49" i="1"/>
  <c r="F8" i="1"/>
  <c r="N8" i="1"/>
  <c r="Q8" i="1"/>
  <c r="F29" i="1"/>
  <c r="F48" i="1"/>
  <c r="I48" i="1"/>
  <c r="V48" i="1"/>
  <c r="R7" i="1"/>
  <c r="U7" i="1"/>
  <c r="F7" i="1"/>
  <c r="I7" i="1"/>
  <c r="V7" i="1"/>
  <c r="I4" i="1"/>
  <c r="V4" i="1"/>
  <c r="G15" i="1"/>
  <c r="G30" i="1"/>
  <c r="G49" i="1"/>
  <c r="F15" i="1"/>
  <c r="L15" i="1"/>
  <c r="L30" i="1"/>
  <c r="F4" i="1"/>
  <c r="G4" i="1"/>
  <c r="G29" i="1"/>
  <c r="G48" i="1"/>
  <c r="F20" i="1"/>
  <c r="J20" i="1"/>
  <c r="M20" i="1"/>
  <c r="F19" i="1"/>
  <c r="R19" i="1"/>
  <c r="U19" i="1"/>
</calcChain>
</file>

<file path=xl/sharedStrings.xml><?xml version="1.0" encoding="utf-8"?>
<sst xmlns="http://schemas.openxmlformats.org/spreadsheetml/2006/main" count="116" uniqueCount="72">
  <si>
    <t>CM</t>
    <phoneticPr fontId="3" type="noConversion"/>
  </si>
  <si>
    <r>
      <t xml:space="preserve">Application
</t>
    </r>
    <r>
      <rPr>
        <b/>
        <sz val="12"/>
        <color theme="3" tint="0.499984740745262"/>
        <rFont val="Arial"/>
        <family val="2"/>
      </rPr>
      <t>(Market module name)</t>
    </r>
    <phoneticPr fontId="3" type="noConversion"/>
  </si>
  <si>
    <t>PJ(CQ4~)</t>
    <phoneticPr fontId="3" type="noConversion"/>
  </si>
  <si>
    <t>FY23</t>
    <phoneticPr fontId="3" type="noConversion"/>
  </si>
  <si>
    <t>usage</t>
    <phoneticPr fontId="3" type="noConversion"/>
  </si>
  <si>
    <t>share</t>
    <phoneticPr fontId="3" type="noConversion"/>
  </si>
  <si>
    <t>Apr</t>
    <phoneticPr fontId="3" type="noConversion"/>
  </si>
  <si>
    <t>May</t>
  </si>
  <si>
    <t>Jun</t>
  </si>
  <si>
    <t>CQ2</t>
    <phoneticPr fontId="3" type="noConversion"/>
  </si>
  <si>
    <t>Jul</t>
  </si>
  <si>
    <t>Aug</t>
  </si>
  <si>
    <t>Sep</t>
  </si>
  <si>
    <t>CQ3</t>
    <phoneticPr fontId="3" type="noConversion"/>
  </si>
  <si>
    <t>Oct</t>
  </si>
  <si>
    <t>Nov</t>
  </si>
  <si>
    <t>Dec</t>
  </si>
  <si>
    <t>CQ4</t>
    <phoneticPr fontId="3" type="noConversion"/>
  </si>
  <si>
    <t>Jan</t>
  </si>
  <si>
    <t>Feb</t>
  </si>
  <si>
    <t>Mar</t>
  </si>
  <si>
    <t>CQ1</t>
    <phoneticPr fontId="3" type="noConversion"/>
  </si>
  <si>
    <t>TTL</t>
    <phoneticPr fontId="3" type="noConversion"/>
  </si>
  <si>
    <t>vsLT</t>
    <phoneticPr fontId="3" type="noConversion"/>
  </si>
  <si>
    <t>Fox</t>
    <phoneticPr fontId="3" type="noConversion"/>
  </si>
  <si>
    <t>L40S/ L2</t>
    <phoneticPr fontId="3" type="noConversion"/>
  </si>
  <si>
    <t>16TDC100MXX</t>
  </si>
  <si>
    <t>6TPE220MAXX</t>
  </si>
  <si>
    <t>A100</t>
    <phoneticPr fontId="3" type="noConversion"/>
  </si>
  <si>
    <t>EEFHX0E471XX</t>
  </si>
  <si>
    <t>EEJSX0D221XX</t>
  </si>
  <si>
    <t>A800</t>
    <phoneticPr fontId="3" type="noConversion"/>
  </si>
  <si>
    <t>H100/ H800/ H20
(GPU module)</t>
    <phoneticPr fontId="3" type="noConversion"/>
  </si>
  <si>
    <t>EEFKX0D471XX</t>
  </si>
  <si>
    <t xml:space="preserve"> 20TDC22MXX</t>
  </si>
  <si>
    <t>25TDC68MXX</t>
  </si>
  <si>
    <t>H100
(Baseboard)</t>
    <phoneticPr fontId="3" type="noConversion"/>
  </si>
  <si>
    <t>EEFJX0D471XX</t>
  </si>
  <si>
    <t>20TDC22MXX</t>
  </si>
  <si>
    <t>EEHZT1J82XX</t>
  </si>
  <si>
    <r>
      <t>B200</t>
    </r>
    <r>
      <rPr>
        <b/>
        <sz val="8"/>
        <rFont val="Arial"/>
        <family val="2"/>
      </rPr>
      <t>(GPU module)</t>
    </r>
    <phoneticPr fontId="3" type="noConversion"/>
  </si>
  <si>
    <t>20TDC100MDXX</t>
  </si>
  <si>
    <t>B200(Baseboard)</t>
    <phoneticPr fontId="3" type="noConversion"/>
  </si>
  <si>
    <t>EEHZU1J181XX</t>
  </si>
  <si>
    <t>GH200</t>
    <phoneticPr fontId="3" type="noConversion"/>
  </si>
  <si>
    <t>20TDC22MYXX</t>
  </si>
  <si>
    <r>
      <t xml:space="preserve">GB200(1C+2G)
</t>
    </r>
    <r>
      <rPr>
        <sz val="12"/>
        <rFont val="Arial"/>
        <family val="2"/>
      </rPr>
      <t>Exclude PDB</t>
    </r>
    <r>
      <rPr>
        <b/>
        <sz val="12"/>
        <rFont val="Arial"/>
        <family val="2"/>
      </rPr>
      <t xml:space="preserve"> (PG548)</t>
    </r>
    <phoneticPr fontId="3" type="noConversion"/>
  </si>
  <si>
    <r>
      <t xml:space="preserve">GB200(2C+2G)
</t>
    </r>
    <r>
      <rPr>
        <sz val="12"/>
        <rFont val="Arial"/>
        <family val="2"/>
      </rPr>
      <t>Exclude PDB</t>
    </r>
    <r>
      <rPr>
        <b/>
        <sz val="12"/>
        <rFont val="Arial"/>
        <family val="2"/>
      </rPr>
      <t>(PG545)</t>
    </r>
    <phoneticPr fontId="3" type="noConversion"/>
  </si>
  <si>
    <t>TBD</t>
  </si>
  <si>
    <t>6TPE330MA9XX</t>
  </si>
  <si>
    <t>SP-Cap</t>
    <phoneticPr fontId="3" type="noConversion"/>
  </si>
  <si>
    <t>POSCAP</t>
    <phoneticPr fontId="3" type="noConversion"/>
  </si>
  <si>
    <t>Hybrid</t>
    <phoneticPr fontId="3" type="noConversion"/>
  </si>
  <si>
    <t>wis</t>
    <phoneticPr fontId="3" type="noConversion"/>
  </si>
  <si>
    <t>H100
(Baseboard)</t>
    <phoneticPr fontId="3" type="noConversion"/>
  </si>
  <si>
    <r>
      <t>B100</t>
    </r>
    <r>
      <rPr>
        <b/>
        <sz val="8"/>
        <rFont val="Arial"/>
        <family val="2"/>
      </rPr>
      <t>(Baseboard)</t>
    </r>
    <phoneticPr fontId="3" type="noConversion"/>
  </si>
  <si>
    <t>GB200(1C+1G)</t>
    <phoneticPr fontId="3" type="noConversion"/>
  </si>
  <si>
    <t>20TDC100MXX</t>
  </si>
  <si>
    <t>GB200(1C+2G)</t>
    <phoneticPr fontId="3" type="noConversion"/>
  </si>
  <si>
    <t>TTL</t>
    <phoneticPr fontId="3" type="noConversion"/>
  </si>
  <si>
    <t>SP-Cap</t>
    <phoneticPr fontId="3" type="noConversion"/>
  </si>
  <si>
    <t>POSCAP</t>
    <phoneticPr fontId="3" type="noConversion"/>
  </si>
  <si>
    <t>Hybrid</t>
    <phoneticPr fontId="3" type="noConversion"/>
  </si>
  <si>
    <t>F+W</t>
    <phoneticPr fontId="3" type="noConversion"/>
  </si>
  <si>
    <t>FY24</t>
    <phoneticPr fontId="3" type="noConversion"/>
  </si>
  <si>
    <t>Apr</t>
    <phoneticPr fontId="3" type="noConversion"/>
  </si>
  <si>
    <t>CQ2</t>
    <phoneticPr fontId="3" type="noConversion"/>
  </si>
  <si>
    <t>vsLT</t>
    <phoneticPr fontId="3" type="noConversion"/>
  </si>
  <si>
    <t>CQ3</t>
    <phoneticPr fontId="3" type="noConversion"/>
  </si>
  <si>
    <t>CQ4</t>
    <phoneticPr fontId="3" type="noConversion"/>
  </si>
  <si>
    <t>CQ1</t>
    <phoneticPr fontId="3" type="noConversion"/>
  </si>
  <si>
    <t>TTL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</si>
</sst>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_-* #,##0_-;\-* #,##0_-;_-* &quot;-&quot;??_-;_-@_-"/>
    <numFmt numFmtId="177" formatCode="0.0%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theme="3" tint="0.499984740745262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rgb="FF0066CC"/>
      <name val="Arial"/>
      <family val="2"/>
    </font>
    <font>
      <sz val="11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66CC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0066CC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9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9" fontId="4" fillId="0" borderId="20" xfId="0" applyNumberFormat="1" applyFont="1" applyBorder="1" applyAlignment="1">
      <alignment horizontal="left" vertical="center"/>
    </xf>
    <xf numFmtId="176" fontId="9" fillId="0" borderId="21" xfId="1" applyNumberFormat="1" applyFont="1" applyFill="1" applyBorder="1" applyAlignment="1">
      <alignment horizontal="left" vertical="center"/>
    </xf>
    <xf numFmtId="176" fontId="9" fillId="0" borderId="19" xfId="1" applyNumberFormat="1" applyFont="1" applyFill="1" applyBorder="1" applyAlignment="1">
      <alignment horizontal="left" vertical="center"/>
    </xf>
    <xf numFmtId="176" fontId="10" fillId="0" borderId="19" xfId="1" applyNumberFormat="1" applyFont="1" applyFill="1" applyBorder="1" applyAlignment="1">
      <alignment horizontal="left" vertical="center"/>
    </xf>
    <xf numFmtId="176" fontId="9" fillId="0" borderId="22" xfId="1" applyNumberFormat="1" applyFont="1" applyFill="1" applyBorder="1" applyAlignment="1">
      <alignment horizontal="left" vertical="center"/>
    </xf>
    <xf numFmtId="176" fontId="9" fillId="0" borderId="23" xfId="1" applyNumberFormat="1" applyFont="1" applyFill="1" applyBorder="1" applyAlignment="1">
      <alignment horizontal="left" vertical="center"/>
    </xf>
    <xf numFmtId="176" fontId="11" fillId="0" borderId="19" xfId="1" applyNumberFormat="1" applyFont="1" applyFill="1" applyBorder="1" applyAlignment="1">
      <alignment horizontal="left" vertical="center"/>
    </xf>
    <xf numFmtId="176" fontId="11" fillId="0" borderId="24" xfId="1" applyNumberFormat="1" applyFont="1" applyFill="1" applyBorder="1" applyAlignment="1">
      <alignment horizontal="left" vertical="center"/>
    </xf>
    <xf numFmtId="0" fontId="8" fillId="0" borderId="25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9" fontId="4" fillId="0" borderId="26" xfId="0" applyNumberFormat="1" applyFont="1" applyBorder="1" applyAlignment="1">
      <alignment horizontal="left" vertical="center"/>
    </xf>
    <xf numFmtId="176" fontId="9" fillId="0" borderId="27" xfId="1" applyNumberFormat="1" applyFont="1" applyFill="1" applyBorder="1" applyAlignment="1">
      <alignment horizontal="left" vertical="center"/>
    </xf>
    <xf numFmtId="176" fontId="9" fillId="0" borderId="25" xfId="1" applyNumberFormat="1" applyFont="1" applyFill="1" applyBorder="1" applyAlignment="1">
      <alignment horizontal="left" vertical="center"/>
    </xf>
    <xf numFmtId="176" fontId="10" fillId="0" borderId="25" xfId="1" applyNumberFormat="1" applyFont="1" applyFill="1" applyBorder="1" applyAlignment="1">
      <alignment horizontal="left" vertical="center"/>
    </xf>
    <xf numFmtId="176" fontId="9" fillId="0" borderId="28" xfId="1" applyNumberFormat="1" applyFont="1" applyFill="1" applyBorder="1" applyAlignment="1">
      <alignment horizontal="left" vertical="center"/>
    </xf>
    <xf numFmtId="176" fontId="9" fillId="0" borderId="29" xfId="1" applyNumberFormat="1" applyFont="1" applyFill="1" applyBorder="1" applyAlignment="1">
      <alignment horizontal="left" vertical="center"/>
    </xf>
    <xf numFmtId="176" fontId="11" fillId="0" borderId="25" xfId="1" applyNumberFormat="1" applyFont="1" applyFill="1" applyBorder="1" applyAlignment="1">
      <alignment horizontal="left" vertical="center"/>
    </xf>
    <xf numFmtId="176" fontId="11" fillId="0" borderId="30" xfId="1" applyNumberFormat="1" applyFont="1" applyFill="1" applyBorder="1" applyAlignment="1">
      <alignment horizontal="left" vertical="center"/>
    </xf>
    <xf numFmtId="0" fontId="12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center"/>
    </xf>
    <xf numFmtId="9" fontId="14" fillId="2" borderId="33" xfId="2" applyFont="1" applyFill="1" applyBorder="1" applyAlignment="1">
      <alignment horizontal="left" vertical="center"/>
    </xf>
    <xf numFmtId="176" fontId="15" fillId="2" borderId="34" xfId="1" applyNumberFormat="1" applyFont="1" applyFill="1" applyBorder="1" applyAlignment="1">
      <alignment horizontal="left" vertical="center"/>
    </xf>
    <xf numFmtId="176" fontId="15" fillId="2" borderId="32" xfId="1" applyNumberFormat="1" applyFont="1" applyFill="1" applyBorder="1" applyAlignment="1">
      <alignment horizontal="left" vertical="center"/>
    </xf>
    <xf numFmtId="176" fontId="16" fillId="2" borderId="32" xfId="1" applyNumberFormat="1" applyFont="1" applyFill="1" applyBorder="1" applyAlignment="1">
      <alignment horizontal="left" vertical="center"/>
    </xf>
    <xf numFmtId="176" fontId="15" fillId="2" borderId="35" xfId="1" applyNumberFormat="1" applyFont="1" applyFill="1" applyBorder="1" applyAlignment="1">
      <alignment horizontal="left" vertical="center"/>
    </xf>
    <xf numFmtId="176" fontId="9" fillId="2" borderId="36" xfId="1" applyNumberFormat="1" applyFont="1" applyFill="1" applyBorder="1" applyAlignment="1">
      <alignment horizontal="left" vertical="center"/>
    </xf>
    <xf numFmtId="176" fontId="9" fillId="2" borderId="32" xfId="1" applyNumberFormat="1" applyFont="1" applyFill="1" applyBorder="1" applyAlignment="1">
      <alignment horizontal="left" vertical="center"/>
    </xf>
    <xf numFmtId="176" fontId="11" fillId="2" borderId="32" xfId="1" applyNumberFormat="1" applyFont="1" applyFill="1" applyBorder="1" applyAlignment="1">
      <alignment horizontal="left" vertical="center"/>
    </xf>
    <xf numFmtId="176" fontId="11" fillId="2" borderId="37" xfId="1" applyNumberFormat="1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 wrapText="1"/>
    </xf>
    <xf numFmtId="0" fontId="13" fillId="2" borderId="38" xfId="0" applyFont="1" applyFill="1" applyBorder="1" applyAlignment="1">
      <alignment horizontal="left" vertical="center"/>
    </xf>
    <xf numFmtId="0" fontId="14" fillId="2" borderId="38" xfId="0" applyFont="1" applyFill="1" applyBorder="1" applyAlignment="1">
      <alignment horizontal="left" vertical="center"/>
    </xf>
    <xf numFmtId="9" fontId="14" fillId="2" borderId="39" xfId="2" applyFont="1" applyFill="1" applyBorder="1" applyAlignment="1">
      <alignment horizontal="left" vertical="center"/>
    </xf>
    <xf numFmtId="176" fontId="15" fillId="2" borderId="40" xfId="1" applyNumberFormat="1" applyFont="1" applyFill="1" applyBorder="1" applyAlignment="1">
      <alignment horizontal="left" vertical="center"/>
    </xf>
    <xf numFmtId="176" fontId="15" fillId="2" borderId="38" xfId="1" applyNumberFormat="1" applyFont="1" applyFill="1" applyBorder="1" applyAlignment="1">
      <alignment horizontal="left" vertical="center"/>
    </xf>
    <xf numFmtId="176" fontId="16" fillId="2" borderId="38" xfId="1" applyNumberFormat="1" applyFont="1" applyFill="1" applyBorder="1" applyAlignment="1">
      <alignment horizontal="left" vertical="center"/>
    </xf>
    <xf numFmtId="176" fontId="15" fillId="2" borderId="41" xfId="1" applyNumberFormat="1" applyFont="1" applyFill="1" applyBorder="1" applyAlignment="1">
      <alignment horizontal="left" vertical="center"/>
    </xf>
    <xf numFmtId="176" fontId="9" fillId="2" borderId="42" xfId="1" applyNumberFormat="1" applyFont="1" applyFill="1" applyBorder="1" applyAlignment="1">
      <alignment horizontal="left" vertical="center"/>
    </xf>
    <xf numFmtId="176" fontId="9" fillId="2" borderId="38" xfId="1" applyNumberFormat="1" applyFont="1" applyFill="1" applyBorder="1" applyAlignment="1">
      <alignment horizontal="left" vertical="center"/>
    </xf>
    <xf numFmtId="176" fontId="11" fillId="2" borderId="38" xfId="1" applyNumberFormat="1" applyFont="1" applyFill="1" applyBorder="1" applyAlignment="1">
      <alignment horizontal="left" vertical="center"/>
    </xf>
    <xf numFmtId="176" fontId="11" fillId="2" borderId="43" xfId="1" applyNumberFormat="1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left" vertical="center" wrapText="1"/>
    </xf>
    <xf numFmtId="0" fontId="13" fillId="2" borderId="44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left" vertical="center"/>
    </xf>
    <xf numFmtId="9" fontId="14" fillId="2" borderId="45" xfId="2" applyFont="1" applyFill="1" applyBorder="1" applyAlignment="1">
      <alignment horizontal="left" vertical="center"/>
    </xf>
    <xf numFmtId="176" fontId="15" fillId="2" borderId="46" xfId="1" applyNumberFormat="1" applyFont="1" applyFill="1" applyBorder="1" applyAlignment="1">
      <alignment horizontal="left" vertical="center"/>
    </xf>
    <xf numFmtId="176" fontId="15" fillId="2" borderId="44" xfId="1" applyNumberFormat="1" applyFont="1" applyFill="1" applyBorder="1" applyAlignment="1">
      <alignment horizontal="left" vertical="center"/>
    </xf>
    <xf numFmtId="176" fontId="16" fillId="2" borderId="44" xfId="1" applyNumberFormat="1" applyFont="1" applyFill="1" applyBorder="1" applyAlignment="1">
      <alignment horizontal="left" vertical="center"/>
    </xf>
    <xf numFmtId="176" fontId="15" fillId="2" borderId="47" xfId="1" applyNumberFormat="1" applyFont="1" applyFill="1" applyBorder="1" applyAlignment="1">
      <alignment horizontal="left" vertical="center"/>
    </xf>
    <xf numFmtId="176" fontId="9" fillId="2" borderId="48" xfId="1" applyNumberFormat="1" applyFont="1" applyFill="1" applyBorder="1" applyAlignment="1">
      <alignment horizontal="left" vertical="center"/>
    </xf>
    <xf numFmtId="176" fontId="9" fillId="2" borderId="44" xfId="1" applyNumberFormat="1" applyFont="1" applyFill="1" applyBorder="1" applyAlignment="1">
      <alignment horizontal="left" vertical="center"/>
    </xf>
    <xf numFmtId="176" fontId="11" fillId="2" borderId="44" xfId="1" applyNumberFormat="1" applyFont="1" applyFill="1" applyBorder="1" applyAlignment="1">
      <alignment horizontal="left" vertical="center"/>
    </xf>
    <xf numFmtId="176" fontId="11" fillId="2" borderId="49" xfId="1" applyNumberFormat="1" applyFont="1" applyFill="1" applyBorder="1" applyAlignment="1">
      <alignment horizontal="left" vertical="center"/>
    </xf>
    <xf numFmtId="0" fontId="8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/>
    </xf>
    <xf numFmtId="9" fontId="4" fillId="0" borderId="33" xfId="2" applyFont="1" applyFill="1" applyBorder="1" applyAlignment="1">
      <alignment horizontal="left" vertical="center"/>
    </xf>
    <xf numFmtId="176" fontId="9" fillId="0" borderId="34" xfId="1" applyNumberFormat="1" applyFont="1" applyFill="1" applyBorder="1" applyAlignment="1">
      <alignment horizontal="left" vertical="center"/>
    </xf>
    <xf numFmtId="176" fontId="9" fillId="0" borderId="32" xfId="1" applyNumberFormat="1" applyFont="1" applyFill="1" applyBorder="1" applyAlignment="1">
      <alignment horizontal="left" vertical="center"/>
    </xf>
    <xf numFmtId="176" fontId="10" fillId="0" borderId="32" xfId="1" applyNumberFormat="1" applyFont="1" applyFill="1" applyBorder="1" applyAlignment="1">
      <alignment horizontal="left" vertical="center"/>
    </xf>
    <xf numFmtId="176" fontId="9" fillId="0" borderId="35" xfId="1" applyNumberFormat="1" applyFont="1" applyFill="1" applyBorder="1" applyAlignment="1">
      <alignment horizontal="left" vertical="center"/>
    </xf>
    <xf numFmtId="176" fontId="9" fillId="0" borderId="36" xfId="1" applyNumberFormat="1" applyFont="1" applyFill="1" applyBorder="1" applyAlignment="1">
      <alignment horizontal="left" vertical="center"/>
    </xf>
    <xf numFmtId="176" fontId="11" fillId="0" borderId="32" xfId="1" applyNumberFormat="1" applyFont="1" applyFill="1" applyBorder="1" applyAlignment="1">
      <alignment horizontal="left" vertical="center"/>
    </xf>
    <xf numFmtId="176" fontId="11" fillId="0" borderId="37" xfId="1" applyNumberFormat="1" applyFont="1" applyFill="1" applyBorder="1" applyAlignment="1">
      <alignment horizontal="left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/>
    </xf>
    <xf numFmtId="9" fontId="4" fillId="0" borderId="39" xfId="2" applyFont="1" applyFill="1" applyBorder="1" applyAlignment="1">
      <alignment horizontal="left" vertical="center"/>
    </xf>
    <xf numFmtId="176" fontId="9" fillId="0" borderId="40" xfId="1" applyNumberFormat="1" applyFont="1" applyFill="1" applyBorder="1" applyAlignment="1">
      <alignment horizontal="left" vertical="center"/>
    </xf>
    <xf numFmtId="176" fontId="9" fillId="0" borderId="38" xfId="1" applyNumberFormat="1" applyFont="1" applyFill="1" applyBorder="1" applyAlignment="1">
      <alignment horizontal="left" vertical="center"/>
    </xf>
    <xf numFmtId="176" fontId="10" fillId="0" borderId="38" xfId="1" applyNumberFormat="1" applyFont="1" applyFill="1" applyBorder="1" applyAlignment="1">
      <alignment horizontal="left" vertical="center"/>
    </xf>
    <xf numFmtId="176" fontId="9" fillId="0" borderId="41" xfId="1" applyNumberFormat="1" applyFont="1" applyFill="1" applyBorder="1" applyAlignment="1">
      <alignment horizontal="left" vertical="center"/>
    </xf>
    <xf numFmtId="176" fontId="9" fillId="0" borderId="42" xfId="1" applyNumberFormat="1" applyFont="1" applyFill="1" applyBorder="1" applyAlignment="1">
      <alignment horizontal="left" vertical="center"/>
    </xf>
    <xf numFmtId="176" fontId="11" fillId="0" borderId="38" xfId="1" applyNumberFormat="1" applyFont="1" applyFill="1" applyBorder="1" applyAlignment="1">
      <alignment horizontal="left" vertical="center"/>
    </xf>
    <xf numFmtId="176" fontId="11" fillId="0" borderId="43" xfId="1" applyNumberFormat="1" applyFont="1" applyFill="1" applyBorder="1" applyAlignment="1">
      <alignment horizontal="left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/>
    </xf>
    <xf numFmtId="9" fontId="4" fillId="0" borderId="45" xfId="2" applyFont="1" applyFill="1" applyBorder="1" applyAlignment="1">
      <alignment horizontal="left" vertical="center"/>
    </xf>
    <xf numFmtId="176" fontId="9" fillId="0" borderId="46" xfId="1" applyNumberFormat="1" applyFont="1" applyFill="1" applyBorder="1" applyAlignment="1">
      <alignment horizontal="left" vertical="center"/>
    </xf>
    <xf numFmtId="176" fontId="9" fillId="0" borderId="44" xfId="1" applyNumberFormat="1" applyFont="1" applyFill="1" applyBorder="1" applyAlignment="1">
      <alignment horizontal="left" vertical="center"/>
    </xf>
    <xf numFmtId="176" fontId="10" fillId="0" borderId="44" xfId="1" applyNumberFormat="1" applyFont="1" applyFill="1" applyBorder="1" applyAlignment="1">
      <alignment horizontal="left" vertical="center"/>
    </xf>
    <xf numFmtId="176" fontId="9" fillId="0" borderId="47" xfId="1" applyNumberFormat="1" applyFont="1" applyFill="1" applyBorder="1" applyAlignment="1">
      <alignment horizontal="left" vertical="center"/>
    </xf>
    <xf numFmtId="176" fontId="9" fillId="0" borderId="48" xfId="1" applyNumberFormat="1" applyFont="1" applyFill="1" applyBorder="1" applyAlignment="1">
      <alignment horizontal="left" vertical="center"/>
    </xf>
    <xf numFmtId="176" fontId="11" fillId="0" borderId="44" xfId="1" applyNumberFormat="1" applyFont="1" applyFill="1" applyBorder="1" applyAlignment="1">
      <alignment horizontal="left" vertical="center"/>
    </xf>
    <xf numFmtId="176" fontId="11" fillId="0" borderId="49" xfId="1" applyNumberFormat="1" applyFont="1" applyFill="1" applyBorder="1" applyAlignment="1">
      <alignment horizontal="left" vertical="center"/>
    </xf>
    <xf numFmtId="9" fontId="4" fillId="0" borderId="39" xfId="0" applyNumberFormat="1" applyFont="1" applyBorder="1" applyAlignment="1">
      <alignment horizontal="left" vertical="center"/>
    </xf>
    <xf numFmtId="0" fontId="12" fillId="2" borderId="50" xfId="0" applyFont="1" applyFill="1" applyBorder="1" applyAlignment="1">
      <alignment horizontal="left" vertical="center" wrapText="1"/>
    </xf>
    <xf numFmtId="0" fontId="13" fillId="2" borderId="50" xfId="0" applyFont="1" applyFill="1" applyBorder="1" applyAlignment="1">
      <alignment horizontal="left" vertical="center"/>
    </xf>
    <xf numFmtId="0" fontId="14" fillId="2" borderId="50" xfId="0" applyFont="1" applyFill="1" applyBorder="1" applyAlignment="1">
      <alignment horizontal="left" vertical="center"/>
    </xf>
    <xf numFmtId="9" fontId="14" fillId="2" borderId="51" xfId="2" applyFont="1" applyFill="1" applyBorder="1" applyAlignment="1">
      <alignment horizontal="left" vertical="center"/>
    </xf>
    <xf numFmtId="176" fontId="15" fillId="2" borderId="52" xfId="1" applyNumberFormat="1" applyFont="1" applyFill="1" applyBorder="1" applyAlignment="1">
      <alignment horizontal="left" vertical="center"/>
    </xf>
    <xf numFmtId="176" fontId="15" fillId="2" borderId="50" xfId="1" applyNumberFormat="1" applyFont="1" applyFill="1" applyBorder="1" applyAlignment="1">
      <alignment horizontal="left" vertical="center"/>
    </xf>
    <xf numFmtId="176" fontId="16" fillId="2" borderId="50" xfId="1" applyNumberFormat="1" applyFont="1" applyFill="1" applyBorder="1" applyAlignment="1">
      <alignment horizontal="left" vertical="center"/>
    </xf>
    <xf numFmtId="176" fontId="15" fillId="2" borderId="53" xfId="1" applyNumberFormat="1" applyFont="1" applyFill="1" applyBorder="1" applyAlignment="1">
      <alignment horizontal="left" vertical="center"/>
    </xf>
    <xf numFmtId="176" fontId="15" fillId="2" borderId="54" xfId="1" applyNumberFormat="1" applyFont="1" applyFill="1" applyBorder="1" applyAlignment="1">
      <alignment horizontal="left" vertical="center"/>
    </xf>
    <xf numFmtId="176" fontId="14" fillId="2" borderId="50" xfId="1" applyNumberFormat="1" applyFont="1" applyFill="1" applyBorder="1" applyAlignment="1">
      <alignment horizontal="left" vertical="center"/>
    </xf>
    <xf numFmtId="176" fontId="14" fillId="2" borderId="55" xfId="1" applyNumberFormat="1" applyFont="1" applyFill="1" applyBorder="1" applyAlignment="1">
      <alignment horizontal="left" vertical="center"/>
    </xf>
    <xf numFmtId="0" fontId="18" fillId="0" borderId="32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9" fontId="14" fillId="0" borderId="33" xfId="0" applyNumberFormat="1" applyFont="1" applyBorder="1" applyAlignment="1">
      <alignment horizontal="left" vertical="center"/>
    </xf>
    <xf numFmtId="176" fontId="15" fillId="0" borderId="34" xfId="1" applyNumberFormat="1" applyFont="1" applyFill="1" applyBorder="1" applyAlignment="1">
      <alignment horizontal="left" vertical="center"/>
    </xf>
    <xf numFmtId="176" fontId="15" fillId="0" borderId="32" xfId="1" applyNumberFormat="1" applyFont="1" applyFill="1" applyBorder="1" applyAlignment="1">
      <alignment horizontal="left" vertical="center"/>
    </xf>
    <xf numFmtId="176" fontId="16" fillId="0" borderId="32" xfId="1" applyNumberFormat="1" applyFont="1" applyFill="1" applyBorder="1" applyAlignment="1">
      <alignment horizontal="left" vertical="center"/>
    </xf>
    <xf numFmtId="176" fontId="15" fillId="0" borderId="35" xfId="1" applyNumberFormat="1" applyFont="1" applyFill="1" applyBorder="1" applyAlignment="1">
      <alignment horizontal="left" vertical="center"/>
    </xf>
    <xf numFmtId="176" fontId="15" fillId="0" borderId="36" xfId="1" applyNumberFormat="1" applyFont="1" applyFill="1" applyBorder="1" applyAlignment="1">
      <alignment horizontal="left" vertical="center"/>
    </xf>
    <xf numFmtId="176" fontId="14" fillId="0" borderId="32" xfId="1" applyNumberFormat="1" applyFont="1" applyFill="1" applyBorder="1" applyAlignment="1">
      <alignment horizontal="left" vertical="center"/>
    </xf>
    <xf numFmtId="176" fontId="14" fillId="0" borderId="37" xfId="1" applyNumberFormat="1" applyFont="1" applyFill="1" applyBorder="1" applyAlignment="1">
      <alignment horizontal="left" vertical="center"/>
    </xf>
    <xf numFmtId="0" fontId="14" fillId="0" borderId="38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/>
    </xf>
    <xf numFmtId="9" fontId="14" fillId="0" borderId="39" xfId="2" applyFont="1" applyFill="1" applyBorder="1" applyAlignment="1">
      <alignment horizontal="left" vertical="center"/>
    </xf>
    <xf numFmtId="176" fontId="15" fillId="0" borderId="40" xfId="1" applyNumberFormat="1" applyFont="1" applyFill="1" applyBorder="1" applyAlignment="1">
      <alignment horizontal="left" vertical="center"/>
    </xf>
    <xf numFmtId="176" fontId="15" fillId="0" borderId="38" xfId="1" applyNumberFormat="1" applyFont="1" applyFill="1" applyBorder="1" applyAlignment="1">
      <alignment horizontal="left" vertical="center"/>
    </xf>
    <xf numFmtId="176" fontId="16" fillId="0" borderId="38" xfId="1" applyNumberFormat="1" applyFont="1" applyFill="1" applyBorder="1" applyAlignment="1">
      <alignment horizontal="left" vertical="center"/>
    </xf>
    <xf numFmtId="176" fontId="15" fillId="0" borderId="41" xfId="1" applyNumberFormat="1" applyFont="1" applyFill="1" applyBorder="1" applyAlignment="1">
      <alignment horizontal="left" vertical="center"/>
    </xf>
    <xf numFmtId="176" fontId="15" fillId="0" borderId="42" xfId="1" applyNumberFormat="1" applyFont="1" applyFill="1" applyBorder="1" applyAlignment="1">
      <alignment horizontal="left" vertical="center"/>
    </xf>
    <xf numFmtId="176" fontId="14" fillId="0" borderId="38" xfId="1" applyNumberFormat="1" applyFont="1" applyFill="1" applyBorder="1" applyAlignment="1">
      <alignment horizontal="left" vertical="center"/>
    </xf>
    <xf numFmtId="176" fontId="14" fillId="0" borderId="43" xfId="1" applyNumberFormat="1" applyFont="1" applyFill="1" applyBorder="1" applyAlignment="1">
      <alignment horizontal="left" vertical="center"/>
    </xf>
    <xf numFmtId="0" fontId="14" fillId="0" borderId="44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/>
    </xf>
    <xf numFmtId="9" fontId="14" fillId="0" borderId="45" xfId="2" applyFont="1" applyFill="1" applyBorder="1" applyAlignment="1">
      <alignment horizontal="left" vertical="center"/>
    </xf>
    <xf numFmtId="176" fontId="15" fillId="0" borderId="46" xfId="1" applyNumberFormat="1" applyFont="1" applyFill="1" applyBorder="1" applyAlignment="1">
      <alignment horizontal="left" vertical="center"/>
    </xf>
    <xf numFmtId="176" fontId="15" fillId="0" borderId="44" xfId="1" applyNumberFormat="1" applyFont="1" applyFill="1" applyBorder="1" applyAlignment="1">
      <alignment horizontal="left" vertical="center"/>
    </xf>
    <xf numFmtId="176" fontId="16" fillId="0" borderId="44" xfId="1" applyNumberFormat="1" applyFont="1" applyFill="1" applyBorder="1" applyAlignment="1">
      <alignment horizontal="left" vertical="center"/>
    </xf>
    <xf numFmtId="176" fontId="15" fillId="0" borderId="47" xfId="1" applyNumberFormat="1" applyFont="1" applyFill="1" applyBorder="1" applyAlignment="1">
      <alignment horizontal="left" vertical="center"/>
    </xf>
    <xf numFmtId="176" fontId="15" fillId="0" borderId="48" xfId="1" applyNumberFormat="1" applyFont="1" applyFill="1" applyBorder="1" applyAlignment="1">
      <alignment horizontal="left" vertical="center"/>
    </xf>
    <xf numFmtId="176" fontId="14" fillId="0" borderId="44" xfId="1" applyNumberFormat="1" applyFont="1" applyFill="1" applyBorder="1" applyAlignment="1">
      <alignment horizontal="left" vertical="center"/>
    </xf>
    <xf numFmtId="176" fontId="14" fillId="0" borderId="49" xfId="1" applyNumberFormat="1" applyFont="1" applyFill="1" applyBorder="1" applyAlignment="1">
      <alignment horizontal="left" vertical="center"/>
    </xf>
    <xf numFmtId="0" fontId="8" fillId="0" borderId="35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176" fontId="19" fillId="0" borderId="34" xfId="1" applyNumberFormat="1" applyFont="1" applyFill="1" applyBorder="1" applyAlignment="1">
      <alignment horizontal="left" vertical="center"/>
    </xf>
    <xf numFmtId="176" fontId="19" fillId="0" borderId="32" xfId="1" applyNumberFormat="1" applyFont="1" applyFill="1" applyBorder="1" applyAlignment="1">
      <alignment horizontal="left" vertical="center"/>
    </xf>
    <xf numFmtId="176" fontId="19" fillId="0" borderId="35" xfId="1" applyNumberFormat="1" applyFont="1" applyFill="1" applyBorder="1" applyAlignment="1">
      <alignment horizontal="left" vertical="center"/>
    </xf>
    <xf numFmtId="176" fontId="19" fillId="0" borderId="36" xfId="1" applyNumberFormat="1" applyFont="1" applyFill="1" applyBorder="1" applyAlignment="1">
      <alignment horizontal="left" vertical="center"/>
    </xf>
    <xf numFmtId="176" fontId="20" fillId="0" borderId="32" xfId="1" applyNumberFormat="1" applyFont="1" applyFill="1" applyBorder="1" applyAlignment="1">
      <alignment horizontal="left" vertical="center"/>
    </xf>
    <xf numFmtId="176" fontId="20" fillId="0" borderId="37" xfId="1" applyNumberFormat="1" applyFont="1" applyFill="1" applyBorder="1" applyAlignment="1">
      <alignment horizontal="left" vertical="center"/>
    </xf>
    <xf numFmtId="0" fontId="8" fillId="0" borderId="41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176" fontId="19" fillId="0" borderId="40" xfId="1" applyNumberFormat="1" applyFont="1" applyFill="1" applyBorder="1" applyAlignment="1">
      <alignment horizontal="left" vertical="center"/>
    </xf>
    <xf numFmtId="176" fontId="19" fillId="0" borderId="38" xfId="1" applyNumberFormat="1" applyFont="1" applyFill="1" applyBorder="1" applyAlignment="1">
      <alignment horizontal="left" vertical="center"/>
    </xf>
    <xf numFmtId="176" fontId="19" fillId="0" borderId="41" xfId="1" applyNumberFormat="1" applyFont="1" applyFill="1" applyBorder="1" applyAlignment="1">
      <alignment horizontal="left" vertical="center"/>
    </xf>
    <xf numFmtId="176" fontId="19" fillId="0" borderId="42" xfId="1" applyNumberFormat="1" applyFont="1" applyFill="1" applyBorder="1" applyAlignment="1">
      <alignment horizontal="left" vertical="center"/>
    </xf>
    <xf numFmtId="176" fontId="20" fillId="0" borderId="38" xfId="1" applyNumberFormat="1" applyFont="1" applyFill="1" applyBorder="1" applyAlignment="1">
      <alignment horizontal="left" vertical="center"/>
    </xf>
    <xf numFmtId="176" fontId="20" fillId="0" borderId="43" xfId="1" applyNumberFormat="1" applyFont="1" applyFill="1" applyBorder="1" applyAlignment="1">
      <alignment horizontal="left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176" fontId="19" fillId="0" borderId="27" xfId="1" applyNumberFormat="1" applyFont="1" applyFill="1" applyBorder="1" applyAlignment="1">
      <alignment horizontal="left" vertical="center"/>
    </xf>
    <xf numFmtId="176" fontId="19" fillId="0" borderId="25" xfId="1" applyNumberFormat="1" applyFont="1" applyFill="1" applyBorder="1" applyAlignment="1">
      <alignment horizontal="left" vertical="center"/>
    </xf>
    <xf numFmtId="176" fontId="19" fillId="0" borderId="28" xfId="1" applyNumberFormat="1" applyFont="1" applyFill="1" applyBorder="1" applyAlignment="1">
      <alignment horizontal="left" vertical="center"/>
    </xf>
    <xf numFmtId="176" fontId="19" fillId="0" borderId="29" xfId="1" applyNumberFormat="1" applyFont="1" applyFill="1" applyBorder="1" applyAlignment="1">
      <alignment horizontal="left" vertical="center"/>
    </xf>
    <xf numFmtId="176" fontId="20" fillId="0" borderId="25" xfId="1" applyNumberFormat="1" applyFont="1" applyFill="1" applyBorder="1" applyAlignment="1">
      <alignment horizontal="left" vertical="center"/>
    </xf>
    <xf numFmtId="176" fontId="20" fillId="0" borderId="30" xfId="1" applyNumberFormat="1" applyFont="1" applyFill="1" applyBorder="1" applyAlignment="1">
      <alignment horizontal="left" vertical="center"/>
    </xf>
    <xf numFmtId="0" fontId="5" fillId="0" borderId="56" xfId="0" applyFont="1" applyBorder="1" applyAlignment="1">
      <alignment horizontal="left" vertical="center" wrapText="1"/>
    </xf>
    <xf numFmtId="0" fontId="8" fillId="0" borderId="57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/>
    </xf>
    <xf numFmtId="9" fontId="4" fillId="0" borderId="58" xfId="2" applyFont="1" applyFill="1" applyBorder="1" applyAlignment="1">
      <alignment horizontal="left" vertical="center"/>
    </xf>
    <xf numFmtId="176" fontId="9" fillId="0" borderId="59" xfId="1" applyNumberFormat="1" applyFont="1" applyFill="1" applyBorder="1" applyAlignment="1">
      <alignment horizontal="left" vertical="center"/>
    </xf>
    <xf numFmtId="176" fontId="9" fillId="0" borderId="57" xfId="1" applyNumberFormat="1" applyFont="1" applyFill="1" applyBorder="1" applyAlignment="1">
      <alignment horizontal="left" vertical="center"/>
    </xf>
    <xf numFmtId="176" fontId="9" fillId="0" borderId="60" xfId="1" applyNumberFormat="1" applyFont="1" applyFill="1" applyBorder="1" applyAlignment="1">
      <alignment horizontal="left" vertical="center"/>
    </xf>
    <xf numFmtId="176" fontId="21" fillId="0" borderId="57" xfId="1" applyNumberFormat="1" applyFont="1" applyFill="1" applyBorder="1" applyAlignment="1">
      <alignment horizontal="left" vertical="center"/>
    </xf>
    <xf numFmtId="176" fontId="9" fillId="0" borderId="61" xfId="1" applyNumberFormat="1" applyFont="1" applyFill="1" applyBorder="1" applyAlignment="1">
      <alignment horizontal="left" vertical="center"/>
    </xf>
    <xf numFmtId="176" fontId="11" fillId="0" borderId="57" xfId="1" applyNumberFormat="1" applyFont="1" applyFill="1" applyBorder="1" applyAlignment="1">
      <alignment horizontal="left" vertical="center"/>
    </xf>
    <xf numFmtId="176" fontId="11" fillId="0" borderId="62" xfId="1" applyNumberFormat="1" applyFont="1" applyFill="1" applyBorder="1" applyAlignment="1">
      <alignment horizontal="left" vertical="center"/>
    </xf>
    <xf numFmtId="0" fontId="5" fillId="0" borderId="63" xfId="0" applyFont="1" applyBorder="1" applyAlignment="1">
      <alignment horizontal="left" vertical="center" wrapText="1"/>
    </xf>
    <xf numFmtId="176" fontId="21" fillId="0" borderId="38" xfId="1" applyNumberFormat="1" applyFont="1" applyFill="1" applyBorder="1" applyAlignment="1">
      <alignment horizontal="left" vertical="center"/>
    </xf>
    <xf numFmtId="176" fontId="21" fillId="0" borderId="44" xfId="1" applyNumberFormat="1" applyFont="1" applyFill="1" applyBorder="1" applyAlignment="1">
      <alignment horizontal="left" vertical="center"/>
    </xf>
    <xf numFmtId="0" fontId="8" fillId="0" borderId="5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/>
    </xf>
    <xf numFmtId="177" fontId="4" fillId="0" borderId="51" xfId="2" applyNumberFormat="1" applyFont="1" applyFill="1" applyBorder="1" applyAlignment="1">
      <alignment horizontal="left" vertical="center"/>
    </xf>
    <xf numFmtId="176" fontId="9" fillId="0" borderId="52" xfId="1" applyNumberFormat="1" applyFont="1" applyFill="1" applyBorder="1" applyAlignment="1">
      <alignment horizontal="left" vertical="center"/>
    </xf>
    <xf numFmtId="176" fontId="9" fillId="0" borderId="50" xfId="1" applyNumberFormat="1" applyFont="1" applyFill="1" applyBorder="1" applyAlignment="1">
      <alignment horizontal="left" vertical="center"/>
    </xf>
    <xf numFmtId="176" fontId="9" fillId="0" borderId="53" xfId="1" applyNumberFormat="1" applyFont="1" applyFill="1" applyBorder="1" applyAlignment="1">
      <alignment horizontal="left" vertical="center"/>
    </xf>
    <xf numFmtId="176" fontId="21" fillId="0" borderId="50" xfId="1" applyNumberFormat="1" applyFont="1" applyFill="1" applyBorder="1" applyAlignment="1">
      <alignment horizontal="left" vertical="center"/>
    </xf>
    <xf numFmtId="176" fontId="9" fillId="0" borderId="54" xfId="1" applyNumberFormat="1" applyFont="1" applyFill="1" applyBorder="1" applyAlignment="1">
      <alignment horizontal="left" vertical="center"/>
    </xf>
    <xf numFmtId="176" fontId="11" fillId="0" borderId="50" xfId="1" applyNumberFormat="1" applyFont="1" applyFill="1" applyBorder="1" applyAlignment="1">
      <alignment horizontal="left" vertical="center"/>
    </xf>
    <xf numFmtId="176" fontId="11" fillId="0" borderId="55" xfId="1" applyNumberFormat="1" applyFont="1" applyFill="1" applyBorder="1" applyAlignment="1">
      <alignment horizontal="left" vertical="center"/>
    </xf>
    <xf numFmtId="176" fontId="21" fillId="0" borderId="32" xfId="1" applyNumberFormat="1" applyFont="1" applyFill="1" applyBorder="1" applyAlignment="1">
      <alignment horizontal="left" vertical="center"/>
    </xf>
    <xf numFmtId="0" fontId="8" fillId="0" borderId="38" xfId="0" applyFont="1" applyBorder="1" applyAlignment="1">
      <alignment horizontal="left" vertical="center" wrapText="1"/>
    </xf>
    <xf numFmtId="9" fontId="4" fillId="3" borderId="45" xfId="2" applyFont="1" applyFill="1" applyBorder="1" applyAlignment="1">
      <alignment horizontal="left" vertical="center"/>
    </xf>
    <xf numFmtId="176" fontId="10" fillId="0" borderId="34" xfId="1" applyNumberFormat="1" applyFont="1" applyFill="1" applyBorder="1" applyAlignment="1">
      <alignment horizontal="left" vertical="center"/>
    </xf>
    <xf numFmtId="176" fontId="10" fillId="0" borderId="40" xfId="1" applyNumberFormat="1" applyFont="1" applyFill="1" applyBorder="1" applyAlignment="1">
      <alignment horizontal="left" vertical="center"/>
    </xf>
    <xf numFmtId="0" fontId="5" fillId="0" borderId="64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left" vertical="center"/>
    </xf>
    <xf numFmtId="0" fontId="8" fillId="0" borderId="66" xfId="0" applyFont="1" applyBorder="1" applyAlignment="1">
      <alignment horizontal="left" vertical="center"/>
    </xf>
    <xf numFmtId="176" fontId="19" fillId="0" borderId="67" xfId="1" applyNumberFormat="1" applyFont="1" applyFill="1" applyBorder="1" applyAlignment="1">
      <alignment horizontal="left" vertical="center"/>
    </xf>
    <xf numFmtId="176" fontId="19" fillId="0" borderId="65" xfId="1" applyNumberFormat="1" applyFont="1" applyFill="1" applyBorder="1" applyAlignment="1">
      <alignment horizontal="left" vertical="center"/>
    </xf>
    <xf numFmtId="176" fontId="10" fillId="0" borderId="67" xfId="1" applyNumberFormat="1" applyFont="1" applyFill="1" applyBorder="1" applyAlignment="1">
      <alignment horizontal="left" vertical="center"/>
    </xf>
    <xf numFmtId="176" fontId="10" fillId="0" borderId="65" xfId="1" applyNumberFormat="1" applyFont="1" applyFill="1" applyBorder="1" applyAlignment="1">
      <alignment horizontal="left" vertical="center"/>
    </xf>
    <xf numFmtId="176" fontId="19" fillId="0" borderId="68" xfId="1" applyNumberFormat="1" applyFont="1" applyFill="1" applyBorder="1" applyAlignment="1">
      <alignment horizontal="left" vertical="center"/>
    </xf>
    <xf numFmtId="176" fontId="19" fillId="0" borderId="69" xfId="1" applyNumberFormat="1" applyFont="1" applyFill="1" applyBorder="1" applyAlignment="1">
      <alignment horizontal="left" vertical="center"/>
    </xf>
    <xf numFmtId="176" fontId="20" fillId="0" borderId="65" xfId="1" applyNumberFormat="1" applyFont="1" applyFill="1" applyBorder="1" applyAlignment="1">
      <alignment horizontal="left" vertical="center"/>
    </xf>
    <xf numFmtId="176" fontId="20" fillId="0" borderId="70" xfId="1" applyNumberFormat="1" applyFont="1" applyFill="1" applyBorder="1" applyAlignment="1">
      <alignment horizontal="left" vertical="center"/>
    </xf>
    <xf numFmtId="0" fontId="5" fillId="0" borderId="71" xfId="3" applyFont="1" applyBorder="1" applyAlignment="1">
      <alignment horizontal="left" vertical="center" wrapText="1"/>
    </xf>
    <xf numFmtId="0" fontId="8" fillId="0" borderId="57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176" fontId="19" fillId="0" borderId="59" xfId="1" applyNumberFormat="1" applyFont="1" applyFill="1" applyBorder="1" applyAlignment="1">
      <alignment horizontal="left" vertical="center"/>
    </xf>
    <xf numFmtId="176" fontId="19" fillId="0" borderId="57" xfId="1" applyNumberFormat="1" applyFont="1" applyFill="1" applyBorder="1" applyAlignment="1">
      <alignment horizontal="left" vertical="center"/>
    </xf>
    <xf numFmtId="176" fontId="10" fillId="0" borderId="57" xfId="1" applyNumberFormat="1" applyFont="1" applyFill="1" applyBorder="1" applyAlignment="1">
      <alignment horizontal="left" vertical="center"/>
    </xf>
    <xf numFmtId="176" fontId="19" fillId="0" borderId="60" xfId="1" applyNumberFormat="1" applyFont="1" applyFill="1" applyBorder="1" applyAlignment="1">
      <alignment horizontal="left" vertical="center"/>
    </xf>
    <xf numFmtId="176" fontId="19" fillId="0" borderId="61" xfId="1" applyNumberFormat="1" applyFont="1" applyFill="1" applyBorder="1" applyAlignment="1">
      <alignment horizontal="left" vertical="center"/>
    </xf>
    <xf numFmtId="176" fontId="20" fillId="0" borderId="57" xfId="1" applyNumberFormat="1" applyFont="1" applyFill="1" applyBorder="1" applyAlignment="1">
      <alignment horizontal="left" vertical="center"/>
    </xf>
    <xf numFmtId="176" fontId="20" fillId="0" borderId="62" xfId="1" applyNumberFormat="1" applyFont="1" applyFill="1" applyBorder="1" applyAlignment="1">
      <alignment horizontal="left" vertical="center"/>
    </xf>
    <xf numFmtId="0" fontId="5" fillId="0" borderId="72" xfId="3" applyFont="1" applyBorder="1" applyAlignment="1">
      <alignment horizontal="left" vertical="center" wrapText="1"/>
    </xf>
    <xf numFmtId="0" fontId="5" fillId="0" borderId="73" xfId="3" applyFont="1" applyBorder="1" applyAlignment="1">
      <alignment horizontal="left" vertical="center" wrapText="1"/>
    </xf>
    <xf numFmtId="0" fontId="8" fillId="0" borderId="74" xfId="0" applyFont="1" applyBorder="1" applyAlignment="1">
      <alignment horizontal="left" vertical="center" wrapText="1"/>
    </xf>
    <xf numFmtId="0" fontId="8" fillId="0" borderId="74" xfId="0" applyFont="1" applyBorder="1" applyAlignment="1">
      <alignment horizontal="left" vertical="center"/>
    </xf>
    <xf numFmtId="0" fontId="8" fillId="0" borderId="75" xfId="0" applyFont="1" applyBorder="1" applyAlignment="1">
      <alignment horizontal="left" vertical="center"/>
    </xf>
    <xf numFmtId="176" fontId="19" fillId="0" borderId="76" xfId="1" applyNumberFormat="1" applyFont="1" applyFill="1" applyBorder="1" applyAlignment="1">
      <alignment horizontal="left" vertical="center"/>
    </xf>
    <xf numFmtId="176" fontId="19" fillId="0" borderId="74" xfId="1" applyNumberFormat="1" applyFont="1" applyFill="1" applyBorder="1" applyAlignment="1">
      <alignment horizontal="left" vertical="center"/>
    </xf>
    <xf numFmtId="176" fontId="10" fillId="0" borderId="74" xfId="1" applyNumberFormat="1" applyFont="1" applyFill="1" applyBorder="1" applyAlignment="1">
      <alignment horizontal="left" vertical="center"/>
    </xf>
    <xf numFmtId="176" fontId="19" fillId="0" borderId="77" xfId="1" applyNumberFormat="1" applyFont="1" applyFill="1" applyBorder="1" applyAlignment="1">
      <alignment horizontal="left" vertical="center"/>
    </xf>
    <xf numFmtId="176" fontId="19" fillId="0" borderId="78" xfId="1" applyNumberFormat="1" applyFont="1" applyFill="1" applyBorder="1" applyAlignment="1">
      <alignment horizontal="left" vertical="center"/>
    </xf>
    <xf numFmtId="176" fontId="20" fillId="0" borderId="74" xfId="1" applyNumberFormat="1" applyFont="1" applyFill="1" applyBorder="1" applyAlignment="1">
      <alignment horizontal="left" vertical="center"/>
    </xf>
    <xf numFmtId="176" fontId="20" fillId="0" borderId="79" xfId="1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80" xfId="0" applyFont="1" applyBorder="1" applyAlignment="1">
      <alignment horizontal="lef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8" fillId="0" borderId="14" xfId="0" applyFont="1" applyBorder="1" applyAlignment="1">
      <alignment horizontal="right" vertical="center"/>
    </xf>
    <xf numFmtId="176" fontId="11" fillId="0" borderId="21" xfId="1" applyNumberFormat="1" applyFont="1" applyFill="1" applyBorder="1" applyAlignment="1">
      <alignment horizontal="right" vertical="center"/>
    </xf>
    <xf numFmtId="176" fontId="11" fillId="0" borderId="19" xfId="1" applyNumberFormat="1" applyFont="1" applyFill="1" applyBorder="1" applyAlignment="1">
      <alignment horizontal="right" vertical="center"/>
    </xf>
    <xf numFmtId="176" fontId="10" fillId="0" borderId="19" xfId="1" applyNumberFormat="1" applyFont="1" applyFill="1" applyBorder="1" applyAlignment="1">
      <alignment horizontal="right" vertical="center"/>
    </xf>
    <xf numFmtId="176" fontId="20" fillId="0" borderId="22" xfId="1" applyNumberFormat="1" applyFont="1" applyFill="1" applyBorder="1" applyAlignment="1">
      <alignment horizontal="right" vertical="center"/>
    </xf>
    <xf numFmtId="176" fontId="11" fillId="0" borderId="27" xfId="1" applyNumberFormat="1" applyFont="1" applyFill="1" applyBorder="1" applyAlignment="1">
      <alignment horizontal="right" vertical="center"/>
    </xf>
    <xf numFmtId="176" fontId="11" fillId="0" borderId="25" xfId="1" applyNumberFormat="1" applyFont="1" applyFill="1" applyBorder="1" applyAlignment="1">
      <alignment horizontal="right" vertical="center"/>
    </xf>
    <xf numFmtId="176" fontId="10" fillId="0" borderId="25" xfId="1" applyNumberFormat="1" applyFont="1" applyFill="1" applyBorder="1" applyAlignment="1">
      <alignment horizontal="right" vertical="center"/>
    </xf>
    <xf numFmtId="176" fontId="20" fillId="0" borderId="28" xfId="1" applyNumberFormat="1" applyFont="1" applyFill="1" applyBorder="1" applyAlignment="1">
      <alignment horizontal="right" vertical="center"/>
    </xf>
    <xf numFmtId="176" fontId="11" fillId="2" borderId="34" xfId="1" applyNumberFormat="1" applyFont="1" applyFill="1" applyBorder="1" applyAlignment="1">
      <alignment horizontal="right" vertical="center"/>
    </xf>
    <xf numFmtId="176" fontId="11" fillId="2" borderId="32" xfId="1" applyNumberFormat="1" applyFont="1" applyFill="1" applyBorder="1" applyAlignment="1">
      <alignment horizontal="right" vertical="center"/>
    </xf>
    <xf numFmtId="176" fontId="10" fillId="2" borderId="32" xfId="1" applyNumberFormat="1" applyFont="1" applyFill="1" applyBorder="1" applyAlignment="1">
      <alignment horizontal="right" vertical="center"/>
    </xf>
    <xf numFmtId="176" fontId="20" fillId="2" borderId="35" xfId="1" applyNumberFormat="1" applyFont="1" applyFill="1" applyBorder="1" applyAlignment="1">
      <alignment horizontal="right" vertical="center"/>
    </xf>
    <xf numFmtId="176" fontId="11" fillId="2" borderId="40" xfId="1" applyNumberFormat="1" applyFont="1" applyFill="1" applyBorder="1" applyAlignment="1">
      <alignment horizontal="right" vertical="center"/>
    </xf>
    <xf numFmtId="176" fontId="11" fillId="2" borderId="38" xfId="1" applyNumberFormat="1" applyFont="1" applyFill="1" applyBorder="1" applyAlignment="1">
      <alignment horizontal="right" vertical="center"/>
    </xf>
    <xf numFmtId="176" fontId="10" fillId="2" borderId="38" xfId="1" applyNumberFormat="1" applyFont="1" applyFill="1" applyBorder="1" applyAlignment="1">
      <alignment horizontal="right" vertical="center"/>
    </xf>
    <xf numFmtId="176" fontId="20" fillId="2" borderId="41" xfId="1" applyNumberFormat="1" applyFont="1" applyFill="1" applyBorder="1" applyAlignment="1">
      <alignment horizontal="right" vertical="center"/>
    </xf>
    <xf numFmtId="176" fontId="11" fillId="2" borderId="46" xfId="1" applyNumberFormat="1" applyFont="1" applyFill="1" applyBorder="1" applyAlignment="1">
      <alignment horizontal="right" vertical="center"/>
    </xf>
    <xf numFmtId="176" fontId="11" fillId="2" borderId="44" xfId="1" applyNumberFormat="1" applyFont="1" applyFill="1" applyBorder="1" applyAlignment="1">
      <alignment horizontal="right" vertical="center"/>
    </xf>
    <xf numFmtId="176" fontId="10" fillId="2" borderId="44" xfId="1" applyNumberFormat="1" applyFont="1" applyFill="1" applyBorder="1" applyAlignment="1">
      <alignment horizontal="right" vertical="center"/>
    </xf>
    <xf numFmtId="176" fontId="20" fillId="2" borderId="47" xfId="1" applyNumberFormat="1" applyFont="1" applyFill="1" applyBorder="1" applyAlignment="1">
      <alignment horizontal="right" vertical="center"/>
    </xf>
    <xf numFmtId="176" fontId="11" fillId="0" borderId="34" xfId="1" applyNumberFormat="1" applyFont="1" applyFill="1" applyBorder="1" applyAlignment="1">
      <alignment horizontal="right" vertical="center"/>
    </xf>
    <xf numFmtId="176" fontId="11" fillId="0" borderId="32" xfId="1" applyNumberFormat="1" applyFont="1" applyFill="1" applyBorder="1" applyAlignment="1">
      <alignment horizontal="right" vertical="center"/>
    </xf>
    <xf numFmtId="176" fontId="10" fillId="0" borderId="32" xfId="1" applyNumberFormat="1" applyFont="1" applyFill="1" applyBorder="1" applyAlignment="1">
      <alignment horizontal="right" vertical="center"/>
    </xf>
    <xf numFmtId="176" fontId="20" fillId="0" borderId="35" xfId="1" applyNumberFormat="1" applyFont="1" applyFill="1" applyBorder="1" applyAlignment="1">
      <alignment horizontal="right" vertical="center"/>
    </xf>
    <xf numFmtId="176" fontId="11" fillId="0" borderId="40" xfId="1" applyNumberFormat="1" applyFont="1" applyFill="1" applyBorder="1" applyAlignment="1">
      <alignment horizontal="right" vertical="center"/>
    </xf>
    <xf numFmtId="176" fontId="11" fillId="0" borderId="38" xfId="1" applyNumberFormat="1" applyFont="1" applyFill="1" applyBorder="1" applyAlignment="1">
      <alignment horizontal="right" vertical="center"/>
    </xf>
    <xf numFmtId="176" fontId="10" fillId="0" borderId="38" xfId="1" applyNumberFormat="1" applyFont="1" applyFill="1" applyBorder="1" applyAlignment="1">
      <alignment horizontal="right" vertical="center"/>
    </xf>
    <xf numFmtId="176" fontId="20" fillId="0" borderId="41" xfId="1" applyNumberFormat="1" applyFont="1" applyFill="1" applyBorder="1" applyAlignment="1">
      <alignment horizontal="right" vertical="center"/>
    </xf>
    <xf numFmtId="176" fontId="11" fillId="0" borderId="46" xfId="1" applyNumberFormat="1" applyFont="1" applyFill="1" applyBorder="1" applyAlignment="1">
      <alignment horizontal="right" vertical="center"/>
    </xf>
    <xf numFmtId="176" fontId="11" fillId="0" borderId="44" xfId="1" applyNumberFormat="1" applyFont="1" applyFill="1" applyBorder="1" applyAlignment="1">
      <alignment horizontal="right" vertical="center"/>
    </xf>
    <xf numFmtId="176" fontId="10" fillId="0" borderId="44" xfId="1" applyNumberFormat="1" applyFont="1" applyFill="1" applyBorder="1" applyAlignment="1">
      <alignment horizontal="right" vertical="center"/>
    </xf>
    <xf numFmtId="176" fontId="20" fillId="0" borderId="47" xfId="1" applyNumberFormat="1" applyFont="1" applyFill="1" applyBorder="1" applyAlignment="1">
      <alignment horizontal="right" vertical="center"/>
    </xf>
    <xf numFmtId="176" fontId="22" fillId="0" borderId="32" xfId="1" applyNumberFormat="1" applyFont="1" applyFill="1" applyBorder="1" applyAlignment="1">
      <alignment horizontal="right" vertical="center"/>
    </xf>
    <xf numFmtId="176" fontId="22" fillId="0" borderId="38" xfId="1" applyNumberFormat="1" applyFont="1" applyFill="1" applyBorder="1" applyAlignment="1">
      <alignment horizontal="right" vertical="center"/>
    </xf>
    <xf numFmtId="176" fontId="22" fillId="0" borderId="44" xfId="1" applyNumberFormat="1" applyFont="1" applyFill="1" applyBorder="1" applyAlignment="1">
      <alignment horizontal="right" vertical="center"/>
    </xf>
    <xf numFmtId="176" fontId="11" fillId="4" borderId="34" xfId="1" applyNumberFormat="1" applyFont="1" applyFill="1" applyBorder="1" applyAlignment="1">
      <alignment horizontal="right" vertical="center"/>
    </xf>
    <xf numFmtId="176" fontId="23" fillId="0" borderId="35" xfId="1" applyNumberFormat="1" applyFont="1" applyFill="1" applyBorder="1" applyAlignment="1">
      <alignment horizontal="right" vertical="center"/>
    </xf>
    <xf numFmtId="176" fontId="11" fillId="4" borderId="46" xfId="1" applyNumberFormat="1" applyFont="1" applyFill="1" applyBorder="1" applyAlignment="1">
      <alignment horizontal="right" vertical="center"/>
    </xf>
    <xf numFmtId="176" fontId="23" fillId="0" borderId="47" xfId="1" applyNumberFormat="1" applyFont="1" applyFill="1" applyBorder="1" applyAlignment="1">
      <alignment horizontal="right" vertical="center"/>
    </xf>
    <xf numFmtId="176" fontId="14" fillId="2" borderId="52" xfId="1" applyNumberFormat="1" applyFont="1" applyFill="1" applyBorder="1" applyAlignment="1">
      <alignment horizontal="right" vertical="center"/>
    </xf>
    <xf numFmtId="176" fontId="14" fillId="2" borderId="50" xfId="1" applyNumberFormat="1" applyFont="1" applyFill="1" applyBorder="1" applyAlignment="1">
      <alignment horizontal="right" vertical="center"/>
    </xf>
    <xf numFmtId="176" fontId="16" fillId="2" borderId="50" xfId="1" applyNumberFormat="1" applyFont="1" applyFill="1" applyBorder="1" applyAlignment="1">
      <alignment horizontal="right" vertical="center"/>
    </xf>
    <xf numFmtId="176" fontId="18" fillId="2" borderId="53" xfId="1" applyNumberFormat="1" applyFont="1" applyFill="1" applyBorder="1" applyAlignment="1">
      <alignment horizontal="right" vertical="center"/>
    </xf>
    <xf numFmtId="176" fontId="14" fillId="0" borderId="34" xfId="1" applyNumberFormat="1" applyFont="1" applyFill="1" applyBorder="1" applyAlignment="1">
      <alignment horizontal="right" vertical="center"/>
    </xf>
    <xf numFmtId="176" fontId="14" fillId="0" borderId="32" xfId="1" applyNumberFormat="1" applyFont="1" applyFill="1" applyBorder="1" applyAlignment="1">
      <alignment horizontal="right" vertical="center"/>
    </xf>
    <xf numFmtId="176" fontId="16" fillId="0" borderId="32" xfId="1" applyNumberFormat="1" applyFont="1" applyFill="1" applyBorder="1" applyAlignment="1">
      <alignment horizontal="right" vertical="center"/>
    </xf>
    <xf numFmtId="176" fontId="18" fillId="0" borderId="35" xfId="1" applyNumberFormat="1" applyFont="1" applyFill="1" applyBorder="1" applyAlignment="1">
      <alignment horizontal="right" vertical="center"/>
    </xf>
    <xf numFmtId="176" fontId="14" fillId="0" borderId="40" xfId="1" applyNumberFormat="1" applyFont="1" applyFill="1" applyBorder="1" applyAlignment="1">
      <alignment horizontal="right" vertical="center"/>
    </xf>
    <xf numFmtId="176" fontId="14" fillId="0" borderId="38" xfId="1" applyNumberFormat="1" applyFont="1" applyFill="1" applyBorder="1" applyAlignment="1">
      <alignment horizontal="right" vertical="center"/>
    </xf>
    <xf numFmtId="176" fontId="16" fillId="0" borderId="38" xfId="1" applyNumberFormat="1" applyFont="1" applyFill="1" applyBorder="1" applyAlignment="1">
      <alignment horizontal="right" vertical="center"/>
    </xf>
    <xf numFmtId="176" fontId="18" fillId="0" borderId="41" xfId="1" applyNumberFormat="1" applyFont="1" applyFill="1" applyBorder="1" applyAlignment="1">
      <alignment horizontal="right" vertical="center"/>
    </xf>
    <xf numFmtId="176" fontId="14" fillId="0" borderId="46" xfId="1" applyNumberFormat="1" applyFont="1" applyFill="1" applyBorder="1" applyAlignment="1">
      <alignment horizontal="right" vertical="center"/>
    </xf>
    <xf numFmtId="176" fontId="14" fillId="0" borderId="44" xfId="1" applyNumberFormat="1" applyFont="1" applyFill="1" applyBorder="1" applyAlignment="1">
      <alignment horizontal="right" vertical="center"/>
    </xf>
    <xf numFmtId="176" fontId="16" fillId="0" borderId="44" xfId="1" applyNumberFormat="1" applyFont="1" applyFill="1" applyBorder="1" applyAlignment="1">
      <alignment horizontal="right" vertical="center"/>
    </xf>
    <xf numFmtId="176" fontId="18" fillId="0" borderId="47" xfId="1" applyNumberFormat="1" applyFont="1" applyFill="1" applyBorder="1" applyAlignment="1">
      <alignment horizontal="right" vertical="center"/>
    </xf>
    <xf numFmtId="176" fontId="20" fillId="0" borderId="34" xfId="1" applyNumberFormat="1" applyFont="1" applyFill="1" applyBorder="1" applyAlignment="1">
      <alignment horizontal="right" vertical="center"/>
    </xf>
    <xf numFmtId="176" fontId="20" fillId="0" borderId="32" xfId="1" applyNumberFormat="1" applyFont="1" applyFill="1" applyBorder="1" applyAlignment="1">
      <alignment horizontal="right" vertical="center"/>
    </xf>
    <xf numFmtId="176" fontId="23" fillId="0" borderId="32" xfId="1" applyNumberFormat="1" applyFont="1" applyFill="1" applyBorder="1" applyAlignment="1">
      <alignment horizontal="right" vertical="center"/>
    </xf>
    <xf numFmtId="176" fontId="20" fillId="0" borderId="40" xfId="1" applyNumberFormat="1" applyFont="1" applyFill="1" applyBorder="1" applyAlignment="1">
      <alignment horizontal="right" vertical="center"/>
    </xf>
    <xf numFmtId="176" fontId="20" fillId="0" borderId="38" xfId="1" applyNumberFormat="1" applyFont="1" applyFill="1" applyBorder="1" applyAlignment="1">
      <alignment horizontal="right" vertical="center"/>
    </xf>
    <xf numFmtId="176" fontId="20" fillId="0" borderId="27" xfId="1" applyNumberFormat="1" applyFont="1" applyFill="1" applyBorder="1" applyAlignment="1">
      <alignment horizontal="right" vertical="center"/>
    </xf>
    <xf numFmtId="176" fontId="20" fillId="0" borderId="25" xfId="1" applyNumberFormat="1" applyFont="1" applyFill="1" applyBorder="1" applyAlignment="1">
      <alignment horizontal="right" vertical="center"/>
    </xf>
    <xf numFmtId="176" fontId="11" fillId="0" borderId="59" xfId="1" applyNumberFormat="1" applyFont="1" applyFill="1" applyBorder="1" applyAlignment="1">
      <alignment horizontal="right" vertical="center"/>
    </xf>
    <xf numFmtId="176" fontId="11" fillId="0" borderId="57" xfId="1" applyNumberFormat="1" applyFont="1" applyFill="1" applyBorder="1" applyAlignment="1">
      <alignment horizontal="right" vertical="center"/>
    </xf>
    <xf numFmtId="176" fontId="22" fillId="0" borderId="57" xfId="1" applyNumberFormat="1" applyFont="1" applyFill="1" applyBorder="1" applyAlignment="1">
      <alignment horizontal="right" vertical="center"/>
    </xf>
    <xf numFmtId="176" fontId="21" fillId="0" borderId="57" xfId="1" applyNumberFormat="1" applyFont="1" applyFill="1" applyBorder="1" applyAlignment="1">
      <alignment horizontal="right" vertical="center"/>
    </xf>
    <xf numFmtId="176" fontId="23" fillId="0" borderId="60" xfId="1" applyNumberFormat="1" applyFont="1" applyFill="1" applyBorder="1" applyAlignment="1">
      <alignment horizontal="right" vertical="center"/>
    </xf>
    <xf numFmtId="176" fontId="21" fillId="0" borderId="38" xfId="1" applyNumberFormat="1" applyFont="1" applyFill="1" applyBorder="1" applyAlignment="1">
      <alignment horizontal="right" vertical="center"/>
    </xf>
    <xf numFmtId="176" fontId="23" fillId="0" borderId="41" xfId="1" applyNumberFormat="1" applyFont="1" applyFill="1" applyBorder="1" applyAlignment="1">
      <alignment horizontal="right" vertical="center"/>
    </xf>
    <xf numFmtId="176" fontId="21" fillId="0" borderId="44" xfId="1" applyNumberFormat="1" applyFont="1" applyFill="1" applyBorder="1" applyAlignment="1">
      <alignment horizontal="right" vertical="center"/>
    </xf>
    <xf numFmtId="176" fontId="11" fillId="0" borderId="52" xfId="1" applyNumberFormat="1" applyFont="1" applyFill="1" applyBorder="1" applyAlignment="1">
      <alignment horizontal="right" vertical="center"/>
    </xf>
    <xf numFmtId="176" fontId="11" fillId="0" borderId="50" xfId="1" applyNumberFormat="1" applyFont="1" applyFill="1" applyBorder="1" applyAlignment="1">
      <alignment horizontal="right" vertical="center"/>
    </xf>
    <xf numFmtId="176" fontId="21" fillId="0" borderId="50" xfId="1" applyNumberFormat="1" applyFont="1" applyFill="1" applyBorder="1" applyAlignment="1">
      <alignment horizontal="right" vertical="center"/>
    </xf>
    <xf numFmtId="176" fontId="20" fillId="0" borderId="53" xfId="1" applyNumberFormat="1" applyFont="1" applyFill="1" applyBorder="1" applyAlignment="1">
      <alignment horizontal="right" vertical="center"/>
    </xf>
    <xf numFmtId="176" fontId="21" fillId="0" borderId="32" xfId="1" applyNumberFormat="1" applyFont="1" applyFill="1" applyBorder="1" applyAlignment="1">
      <alignment horizontal="right" vertical="center"/>
    </xf>
    <xf numFmtId="176" fontId="23" fillId="0" borderId="38" xfId="1" applyNumberFormat="1" applyFont="1" applyFill="1" applyBorder="1" applyAlignment="1">
      <alignment horizontal="right" vertical="center"/>
    </xf>
    <xf numFmtId="176" fontId="20" fillId="0" borderId="67" xfId="1" applyNumberFormat="1" applyFont="1" applyFill="1" applyBorder="1" applyAlignment="1">
      <alignment horizontal="right" vertical="center"/>
    </xf>
    <xf numFmtId="176" fontId="20" fillId="0" borderId="65" xfId="1" applyNumberFormat="1" applyFont="1" applyFill="1" applyBorder="1" applyAlignment="1">
      <alignment horizontal="right" vertical="center"/>
    </xf>
    <xf numFmtId="176" fontId="23" fillId="0" borderId="65" xfId="1" applyNumberFormat="1" applyFont="1" applyFill="1" applyBorder="1" applyAlignment="1">
      <alignment horizontal="right" vertical="center"/>
    </xf>
    <xf numFmtId="176" fontId="10" fillId="0" borderId="65" xfId="1" applyNumberFormat="1" applyFont="1" applyFill="1" applyBorder="1" applyAlignment="1">
      <alignment horizontal="right" vertical="center"/>
    </xf>
    <xf numFmtId="176" fontId="23" fillId="0" borderId="68" xfId="1" applyNumberFormat="1" applyFont="1" applyFill="1" applyBorder="1" applyAlignment="1">
      <alignment horizontal="right" vertical="center"/>
    </xf>
    <xf numFmtId="176" fontId="20" fillId="0" borderId="59" xfId="1" applyNumberFormat="1" applyFont="1" applyFill="1" applyBorder="1" applyAlignment="1">
      <alignment horizontal="right" vertical="center"/>
    </xf>
    <xf numFmtId="176" fontId="20" fillId="0" borderId="57" xfId="1" applyNumberFormat="1" applyFont="1" applyFill="1" applyBorder="1" applyAlignment="1">
      <alignment horizontal="right" vertical="center"/>
    </xf>
    <xf numFmtId="176" fontId="23" fillId="0" borderId="57" xfId="1" applyNumberFormat="1" applyFont="1" applyFill="1" applyBorder="1" applyAlignment="1">
      <alignment horizontal="right" vertical="center"/>
    </xf>
    <xf numFmtId="176" fontId="10" fillId="0" borderId="57" xfId="1" applyNumberFormat="1" applyFont="1" applyFill="1" applyBorder="1" applyAlignment="1">
      <alignment horizontal="right" vertical="center"/>
    </xf>
    <xf numFmtId="176" fontId="20" fillId="0" borderId="60" xfId="1" applyNumberFormat="1" applyFont="1" applyFill="1" applyBorder="1" applyAlignment="1">
      <alignment horizontal="right" vertical="center"/>
    </xf>
    <xf numFmtId="176" fontId="20" fillId="0" borderId="76" xfId="1" applyNumberFormat="1" applyFont="1" applyFill="1" applyBorder="1" applyAlignment="1">
      <alignment horizontal="right" vertical="center"/>
    </xf>
    <xf numFmtId="176" fontId="20" fillId="0" borderId="74" xfId="1" applyNumberFormat="1" applyFont="1" applyFill="1" applyBorder="1" applyAlignment="1">
      <alignment horizontal="right" vertical="center"/>
    </xf>
    <xf numFmtId="176" fontId="23" fillId="0" borderId="74" xfId="1" applyNumberFormat="1" applyFont="1" applyFill="1" applyBorder="1" applyAlignment="1">
      <alignment horizontal="right" vertical="center"/>
    </xf>
    <xf numFmtId="176" fontId="10" fillId="0" borderId="74" xfId="1" applyNumberFormat="1" applyFont="1" applyFill="1" applyBorder="1" applyAlignment="1">
      <alignment horizontal="right" vertical="center"/>
    </xf>
    <xf numFmtId="176" fontId="23" fillId="0" borderId="77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176" fontId="11" fillId="0" borderId="0" xfId="1" applyNumberFormat="1" applyFont="1" applyAlignment="1">
      <alignment horizontal="right" vertical="center"/>
    </xf>
  </cellXfs>
  <cellStyles count="4">
    <cellStyle name="一般" xfId="0" builtinId="0"/>
    <cellStyle name="一般 2 2" xfId="3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1"/>
  <sheetViews>
    <sheetView tabSelected="1" workbookViewId="0">
      <selection activeCell="AE17" sqref="AE17"/>
    </sheetView>
  </sheetViews>
  <sheetFormatPr defaultRowHeight="16.5" outlineLevelCol="2" x14ac:dyDescent="0.25"/>
  <cols>
    <col min="1" max="1" width="6.375" style="1" customWidth="1"/>
    <col min="2" max="2" width="20.125" style="1" customWidth="1"/>
    <col min="3" max="3" width="21" style="2" customWidth="1"/>
    <col min="4" max="4" width="6.625" style="2" customWidth="1"/>
    <col min="5" max="5" width="7.125" style="2" customWidth="1"/>
    <col min="6" max="8" width="6" style="2" customWidth="1" outlineLevel="1"/>
    <col min="9" max="9" width="6" style="2" customWidth="1"/>
    <col min="10" max="12" width="6" style="2" customWidth="1" outlineLevel="1"/>
    <col min="13" max="13" width="6" style="2" customWidth="1"/>
    <col min="14" max="16" width="6" style="2" customWidth="1" outlineLevel="1"/>
    <col min="17" max="17" width="6" style="2" customWidth="1"/>
    <col min="18" max="20" width="6" style="2" customWidth="1" outlineLevel="2"/>
    <col min="21" max="23" width="6" style="2" customWidth="1"/>
    <col min="24" max="26" width="7.875" style="2" customWidth="1" outlineLevel="1"/>
    <col min="27" max="27" width="9" style="3" bestFit="1" customWidth="1"/>
    <col min="28" max="28" width="7.875" style="3" customWidth="1"/>
    <col min="29" max="31" width="7.875" style="3" customWidth="1" outlineLevel="1"/>
    <col min="32" max="33" width="7.875" style="3" customWidth="1"/>
    <col min="34" max="36" width="9" style="247" customWidth="1" outlineLevel="1"/>
    <col min="37" max="38" width="9" style="247" customWidth="1"/>
    <col min="39" max="41" width="9" style="247" customWidth="1" outlineLevel="1"/>
    <col min="42" max="43" width="9" style="247" customWidth="1"/>
    <col min="44" max="44" width="10.625" style="248" customWidth="1"/>
    <col min="45" max="45" width="10.125" style="247" customWidth="1"/>
  </cols>
  <sheetData>
    <row r="1" spans="1:45" ht="17.25" thickBot="1" x14ac:dyDescent="0.3"/>
    <row r="2" spans="1:45" ht="18" thickTop="1" thickBot="1" x14ac:dyDescent="0.3">
      <c r="A2" s="4" t="s">
        <v>0</v>
      </c>
      <c r="B2" s="5" t="s">
        <v>1</v>
      </c>
      <c r="C2" s="6"/>
      <c r="D2" s="7" t="s">
        <v>2</v>
      </c>
      <c r="E2" s="8"/>
      <c r="F2" s="9" t="s">
        <v>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249" t="s">
        <v>64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</row>
    <row r="3" spans="1:45" ht="17.25" thickBot="1" x14ac:dyDescent="0.3">
      <c r="A3" s="12"/>
      <c r="B3" s="13"/>
      <c r="C3" s="14"/>
      <c r="D3" s="15" t="s">
        <v>4</v>
      </c>
      <c r="E3" s="16" t="s">
        <v>5</v>
      </c>
      <c r="F3" s="17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9" t="s">
        <v>23</v>
      </c>
      <c r="X3" s="20" t="s">
        <v>65</v>
      </c>
      <c r="Y3" s="18" t="s">
        <v>7</v>
      </c>
      <c r="Z3" s="18" t="s">
        <v>8</v>
      </c>
      <c r="AA3" s="21" t="s">
        <v>66</v>
      </c>
      <c r="AB3" s="21" t="s">
        <v>67</v>
      </c>
      <c r="AC3" s="21" t="s">
        <v>10</v>
      </c>
      <c r="AD3" s="21" t="s">
        <v>11</v>
      </c>
      <c r="AE3" s="21" t="s">
        <v>12</v>
      </c>
      <c r="AF3" s="22" t="s">
        <v>68</v>
      </c>
      <c r="AG3" s="23" t="s">
        <v>67</v>
      </c>
      <c r="AH3" s="250" t="s">
        <v>14</v>
      </c>
      <c r="AI3" s="251" t="s">
        <v>15</v>
      </c>
      <c r="AJ3" s="251" t="s">
        <v>16</v>
      </c>
      <c r="AK3" s="251" t="s">
        <v>69</v>
      </c>
      <c r="AL3" s="251" t="s">
        <v>67</v>
      </c>
      <c r="AM3" s="251" t="s">
        <v>18</v>
      </c>
      <c r="AN3" s="251" t="s">
        <v>19</v>
      </c>
      <c r="AO3" s="251" t="s">
        <v>20</v>
      </c>
      <c r="AP3" s="251" t="s">
        <v>70</v>
      </c>
      <c r="AQ3" s="251" t="s">
        <v>67</v>
      </c>
      <c r="AR3" s="252" t="s">
        <v>71</v>
      </c>
      <c r="AS3" s="253" t="s">
        <v>67</v>
      </c>
    </row>
    <row r="4" spans="1:45" x14ac:dyDescent="0.25">
      <c r="A4" s="24" t="s">
        <v>24</v>
      </c>
      <c r="B4" s="25" t="s">
        <v>25</v>
      </c>
      <c r="C4" s="26" t="s">
        <v>26</v>
      </c>
      <c r="D4" s="26">
        <v>10</v>
      </c>
      <c r="E4" s="27">
        <v>0.45</v>
      </c>
      <c r="F4" s="28" t="e">
        <f ca="1">(#REF!+#REF!)*$E$4*$F$4</f>
        <v>#REF!</v>
      </c>
      <c r="G4" s="29" t="e">
        <f ca="1">(#REF!+#REF!)*$E$4*$F$4</f>
        <v>#REF!</v>
      </c>
      <c r="H4" s="29" t="e">
        <f ca="1">(#REF!+#REF!)*$E$4*$F$4</f>
        <v>#REF!</v>
      </c>
      <c r="I4" s="29" t="e">
        <f t="shared" ref="I4:I27" ca="1" si="0">SUM(F4:H4)</f>
        <v>#REF!</v>
      </c>
      <c r="J4" s="29" t="e">
        <f ca="1">(#REF!+#REF!)*$E$4*$F$4</f>
        <v>#REF!</v>
      </c>
      <c r="K4" s="29" t="e">
        <f ca="1">(#REF!+#REF!)*$E$4*$F$4</f>
        <v>#REF!</v>
      </c>
      <c r="L4" s="29" t="e">
        <f ca="1">(#REF!+#REF!)*$E$4*$F$4</f>
        <v>#REF!</v>
      </c>
      <c r="M4" s="29" t="e">
        <f t="shared" ref="M4:M27" ca="1" si="1">SUM(J4:L4)</f>
        <v>#REF!</v>
      </c>
      <c r="N4" s="29" t="e">
        <f ca="1">(#REF!+#REF!)*$E$4*$F$4</f>
        <v>#REF!</v>
      </c>
      <c r="O4" s="29" t="e">
        <f ca="1">(#REF!+#REF!)*$E$4*$F$4</f>
        <v>#REF!</v>
      </c>
      <c r="P4" s="29" t="e">
        <f ca="1">(#REF!+#REF!)*$E$4*$F$4</f>
        <v>#REF!</v>
      </c>
      <c r="Q4" s="29" t="e">
        <f t="shared" ref="Q4:Q27" ca="1" si="2">SUM(N4:P4)</f>
        <v>#REF!</v>
      </c>
      <c r="R4" s="29" t="e">
        <f ca="1">(#REF!+#REF!)*$E$4*$F$4</f>
        <v>#REF!</v>
      </c>
      <c r="S4" s="29" t="e">
        <f ca="1">(#REF!+#REF!)*$E$4*$F$4</f>
        <v>#REF!</v>
      </c>
      <c r="T4" s="29" t="e">
        <f ca="1">(#REF!+#REF!)*$E$4*$F$4</f>
        <v>#REF!</v>
      </c>
      <c r="U4" s="29" t="e">
        <f t="shared" ref="U4:U27" ca="1" si="3">SUM(R4:T4)</f>
        <v>#REF!</v>
      </c>
      <c r="V4" s="30" t="e">
        <f t="shared" ref="V4:V34" ca="1" si="4">I4+M4+Q4+U4</f>
        <v>#REF!</v>
      </c>
      <c r="W4" s="31"/>
      <c r="X4" s="32">
        <v>9</v>
      </c>
      <c r="Y4" s="29">
        <v>9</v>
      </c>
      <c r="Z4" s="29">
        <v>9</v>
      </c>
      <c r="AA4" s="33">
        <v>27</v>
      </c>
      <c r="AB4" s="33" t="e">
        <v>#REF!</v>
      </c>
      <c r="AC4" s="33">
        <v>9</v>
      </c>
      <c r="AD4" s="33">
        <v>9</v>
      </c>
      <c r="AE4" s="33">
        <v>9</v>
      </c>
      <c r="AF4" s="33">
        <v>27</v>
      </c>
      <c r="AG4" s="34">
        <v>0</v>
      </c>
      <c r="AH4" s="254">
        <v>9</v>
      </c>
      <c r="AI4" s="254">
        <v>9</v>
      </c>
      <c r="AJ4" s="255">
        <v>9</v>
      </c>
      <c r="AK4" s="255">
        <v>27</v>
      </c>
      <c r="AL4" s="255">
        <v>0</v>
      </c>
      <c r="AM4" s="255">
        <v>9</v>
      </c>
      <c r="AN4" s="255">
        <v>9</v>
      </c>
      <c r="AO4" s="255">
        <v>9</v>
      </c>
      <c r="AP4" s="255">
        <v>27</v>
      </c>
      <c r="AQ4" s="255">
        <v>0</v>
      </c>
      <c r="AR4" s="256">
        <v>108</v>
      </c>
      <c r="AS4" s="257">
        <v>0</v>
      </c>
    </row>
    <row r="5" spans="1:45" x14ac:dyDescent="0.25">
      <c r="A5" s="24"/>
      <c r="B5" s="35"/>
      <c r="C5" s="36" t="s">
        <v>27</v>
      </c>
      <c r="D5" s="36">
        <v>10</v>
      </c>
      <c r="E5" s="37">
        <v>0</v>
      </c>
      <c r="F5" s="38" t="e">
        <f ca="1">(#REF!+#REF!)*$E$5*$F$5</f>
        <v>#REF!</v>
      </c>
      <c r="G5" s="39" t="e">
        <f ca="1">(#REF!+#REF!)*$E$5*$F$5</f>
        <v>#REF!</v>
      </c>
      <c r="H5" s="39" t="e">
        <f ca="1">(#REF!+#REF!)*$E$5*$F$5</f>
        <v>#REF!</v>
      </c>
      <c r="I5" s="39" t="e">
        <f t="shared" ca="1" si="0"/>
        <v>#REF!</v>
      </c>
      <c r="J5" s="39" t="e">
        <f ca="1">(#REF!+#REF!)*$E$5*$F$5</f>
        <v>#REF!</v>
      </c>
      <c r="K5" s="39" t="e">
        <f ca="1">(#REF!+#REF!)*$E$5*$F$5</f>
        <v>#REF!</v>
      </c>
      <c r="L5" s="39" t="e">
        <f ca="1">(#REF!+#REF!)*$E$5*$F$5</f>
        <v>#REF!</v>
      </c>
      <c r="M5" s="39" t="e">
        <f t="shared" ca="1" si="1"/>
        <v>#REF!</v>
      </c>
      <c r="N5" s="39" t="e">
        <f ca="1">(#REF!+#REF!)*$E$5*$F$5</f>
        <v>#REF!</v>
      </c>
      <c r="O5" s="39" t="e">
        <f ca="1">(#REF!+#REF!)*$E$5*$F$5</f>
        <v>#REF!</v>
      </c>
      <c r="P5" s="39" t="e">
        <f ca="1">(#REF!+#REF!)*$E$5*$F$5</f>
        <v>#REF!</v>
      </c>
      <c r="Q5" s="39" t="e">
        <f t="shared" ca="1" si="2"/>
        <v>#REF!</v>
      </c>
      <c r="R5" s="39" t="e">
        <f ca="1">(#REF!+#REF!)*$E$5*$F$5</f>
        <v>#REF!</v>
      </c>
      <c r="S5" s="39" t="e">
        <f ca="1">(#REF!+#REF!)*$E$5*$F$5</f>
        <v>#REF!</v>
      </c>
      <c r="T5" s="39" t="e">
        <f ca="1">(#REF!+#REF!)*$E$5*$F$5</f>
        <v>#REF!</v>
      </c>
      <c r="U5" s="39" t="e">
        <f t="shared" ca="1" si="3"/>
        <v>#REF!</v>
      </c>
      <c r="V5" s="40" t="e">
        <f t="shared" ca="1" si="4"/>
        <v>#REF!</v>
      </c>
      <c r="W5" s="41"/>
      <c r="X5" s="42">
        <v>20</v>
      </c>
      <c r="Y5" s="39">
        <v>20</v>
      </c>
      <c r="Z5" s="39">
        <v>20</v>
      </c>
      <c r="AA5" s="43">
        <v>60</v>
      </c>
      <c r="AB5" s="43" t="e">
        <v>#REF!</v>
      </c>
      <c r="AC5" s="43">
        <v>20</v>
      </c>
      <c r="AD5" s="43">
        <v>20</v>
      </c>
      <c r="AE5" s="43">
        <v>20</v>
      </c>
      <c r="AF5" s="43">
        <v>60</v>
      </c>
      <c r="AG5" s="44">
        <v>30</v>
      </c>
      <c r="AH5" s="258">
        <v>20</v>
      </c>
      <c r="AI5" s="259">
        <v>20</v>
      </c>
      <c r="AJ5" s="259">
        <v>20</v>
      </c>
      <c r="AK5" s="259">
        <v>60</v>
      </c>
      <c r="AL5" s="259">
        <v>60</v>
      </c>
      <c r="AM5" s="259">
        <v>20</v>
      </c>
      <c r="AN5" s="259">
        <v>20</v>
      </c>
      <c r="AO5" s="259">
        <v>20</v>
      </c>
      <c r="AP5" s="259">
        <v>60</v>
      </c>
      <c r="AQ5" s="259">
        <v>60</v>
      </c>
      <c r="AR5" s="260">
        <v>240</v>
      </c>
      <c r="AS5" s="261">
        <v>180</v>
      </c>
    </row>
    <row r="6" spans="1:45" x14ac:dyDescent="0.25">
      <c r="A6" s="24"/>
      <c r="B6" s="45" t="s">
        <v>28</v>
      </c>
      <c r="C6" s="46" t="s">
        <v>29</v>
      </c>
      <c r="D6" s="47">
        <v>10</v>
      </c>
      <c r="E6" s="48">
        <v>1</v>
      </c>
      <c r="F6" s="49" t="e">
        <f ca="1">#REF!*$E$6*$F$6</f>
        <v>#REF!</v>
      </c>
      <c r="G6" s="50">
        <v>0</v>
      </c>
      <c r="H6" s="50" t="e">
        <f ca="1">#REF!*$E$6*$F$6</f>
        <v>#REF!</v>
      </c>
      <c r="I6" s="50" t="e">
        <f t="shared" ca="1" si="0"/>
        <v>#REF!</v>
      </c>
      <c r="J6" s="50" t="e">
        <f ca="1">#REF!*$E$6*$F$6</f>
        <v>#REF!</v>
      </c>
      <c r="K6" s="50" t="e">
        <f ca="1">#REF!*$E$6*$F$6</f>
        <v>#REF!</v>
      </c>
      <c r="L6" s="50" t="e">
        <f ca="1">#REF!*$E$6*$F$6</f>
        <v>#REF!</v>
      </c>
      <c r="M6" s="50" t="e">
        <f t="shared" ca="1" si="1"/>
        <v>#REF!</v>
      </c>
      <c r="N6" s="50" t="e">
        <f ca="1">#REF!*$E$6*$F$6</f>
        <v>#REF!</v>
      </c>
      <c r="O6" s="50" t="e">
        <f ca="1">#REF!*$E$6*$F$6</f>
        <v>#REF!</v>
      </c>
      <c r="P6" s="50" t="e">
        <f ca="1">#REF!*$E$6*$F$6</f>
        <v>#REF!</v>
      </c>
      <c r="Q6" s="50" t="e">
        <f t="shared" ca="1" si="2"/>
        <v>#REF!</v>
      </c>
      <c r="R6" s="50" t="e">
        <f ca="1">#REF!*$E$6*$F$6</f>
        <v>#REF!</v>
      </c>
      <c r="S6" s="50" t="e">
        <f ca="1">#REF!*$E$6*$F$6</f>
        <v>#REF!</v>
      </c>
      <c r="T6" s="50" t="e">
        <f ca="1">#REF!*$E$6*$F$6</f>
        <v>#REF!</v>
      </c>
      <c r="U6" s="50" t="e">
        <f t="shared" ca="1" si="3"/>
        <v>#REF!</v>
      </c>
      <c r="V6" s="51" t="e">
        <f t="shared" ca="1" si="4"/>
        <v>#REF!</v>
      </c>
      <c r="W6" s="52"/>
      <c r="X6" s="53">
        <v>10</v>
      </c>
      <c r="Y6" s="54">
        <v>10</v>
      </c>
      <c r="Z6" s="54">
        <v>10</v>
      </c>
      <c r="AA6" s="55">
        <v>30</v>
      </c>
      <c r="AB6" s="55" t="e">
        <v>#REF!</v>
      </c>
      <c r="AC6" s="55">
        <v>10</v>
      </c>
      <c r="AD6" s="55">
        <v>10</v>
      </c>
      <c r="AE6" s="55">
        <v>10</v>
      </c>
      <c r="AF6" s="55">
        <v>30</v>
      </c>
      <c r="AG6" s="56">
        <v>0</v>
      </c>
      <c r="AH6" s="262">
        <v>10</v>
      </c>
      <c r="AI6" s="263">
        <v>10</v>
      </c>
      <c r="AJ6" s="263">
        <v>10</v>
      </c>
      <c r="AK6" s="263">
        <v>30</v>
      </c>
      <c r="AL6" s="263">
        <v>0</v>
      </c>
      <c r="AM6" s="263">
        <v>10</v>
      </c>
      <c r="AN6" s="263">
        <v>10</v>
      </c>
      <c r="AO6" s="263">
        <v>10</v>
      </c>
      <c r="AP6" s="263">
        <v>30</v>
      </c>
      <c r="AQ6" s="263">
        <v>0</v>
      </c>
      <c r="AR6" s="264">
        <v>120</v>
      </c>
      <c r="AS6" s="265">
        <v>0</v>
      </c>
    </row>
    <row r="7" spans="1:45" x14ac:dyDescent="0.25">
      <c r="A7" s="24"/>
      <c r="B7" s="57"/>
      <c r="C7" s="58" t="s">
        <v>30</v>
      </c>
      <c r="D7" s="59">
        <v>10</v>
      </c>
      <c r="E7" s="60">
        <v>1</v>
      </c>
      <c r="F7" s="61" t="e">
        <f ca="1">#REF!*$E$7*$F$7</f>
        <v>#REF!</v>
      </c>
      <c r="G7" s="62">
        <v>0</v>
      </c>
      <c r="H7" s="62" t="e">
        <f ca="1">#REF!*$E$7*$F$7</f>
        <v>#REF!</v>
      </c>
      <c r="I7" s="62" t="e">
        <f t="shared" ca="1" si="0"/>
        <v>#REF!</v>
      </c>
      <c r="J7" s="62" t="e">
        <f ca="1">#REF!*$E$7*$F$7</f>
        <v>#REF!</v>
      </c>
      <c r="K7" s="62" t="e">
        <f ca="1">#REF!*$E$7*$F$7</f>
        <v>#REF!</v>
      </c>
      <c r="L7" s="62" t="e">
        <f ca="1">#REF!*$E$7*$F$7</f>
        <v>#REF!</v>
      </c>
      <c r="M7" s="62" t="e">
        <f t="shared" ca="1" si="1"/>
        <v>#REF!</v>
      </c>
      <c r="N7" s="62" t="e">
        <f ca="1">#REF!*$E$7*$F$7</f>
        <v>#REF!</v>
      </c>
      <c r="O7" s="62" t="e">
        <f ca="1">#REF!*$E$7*$F$7</f>
        <v>#REF!</v>
      </c>
      <c r="P7" s="62" t="e">
        <f ca="1">#REF!*$E$7*$F$7</f>
        <v>#REF!</v>
      </c>
      <c r="Q7" s="62" t="e">
        <f t="shared" ca="1" si="2"/>
        <v>#REF!</v>
      </c>
      <c r="R7" s="62" t="e">
        <f ca="1">#REF!*$E$7*$F$7</f>
        <v>#REF!</v>
      </c>
      <c r="S7" s="62" t="e">
        <f ca="1">#REF!*$E$7*$F$7</f>
        <v>#REF!</v>
      </c>
      <c r="T7" s="62" t="e">
        <f ca="1">#REF!*$E$7*$F$7</f>
        <v>#REF!</v>
      </c>
      <c r="U7" s="62" t="e">
        <f t="shared" ca="1" si="3"/>
        <v>#REF!</v>
      </c>
      <c r="V7" s="63" t="e">
        <f t="shared" ca="1" si="4"/>
        <v>#REF!</v>
      </c>
      <c r="W7" s="64"/>
      <c r="X7" s="65">
        <v>10</v>
      </c>
      <c r="Y7" s="66">
        <v>10</v>
      </c>
      <c r="Z7" s="66">
        <v>10</v>
      </c>
      <c r="AA7" s="67">
        <v>30</v>
      </c>
      <c r="AB7" s="67" t="e">
        <v>#REF!</v>
      </c>
      <c r="AC7" s="67">
        <v>10</v>
      </c>
      <c r="AD7" s="67">
        <v>10</v>
      </c>
      <c r="AE7" s="67">
        <v>10</v>
      </c>
      <c r="AF7" s="67">
        <v>30</v>
      </c>
      <c r="AG7" s="68">
        <v>0</v>
      </c>
      <c r="AH7" s="266">
        <v>10</v>
      </c>
      <c r="AI7" s="267">
        <v>10</v>
      </c>
      <c r="AJ7" s="267">
        <v>10</v>
      </c>
      <c r="AK7" s="267">
        <v>30</v>
      </c>
      <c r="AL7" s="267">
        <v>0</v>
      </c>
      <c r="AM7" s="267">
        <v>10</v>
      </c>
      <c r="AN7" s="267">
        <v>10</v>
      </c>
      <c r="AO7" s="267">
        <v>10</v>
      </c>
      <c r="AP7" s="267">
        <v>30</v>
      </c>
      <c r="AQ7" s="267">
        <v>0</v>
      </c>
      <c r="AR7" s="268">
        <v>120</v>
      </c>
      <c r="AS7" s="269">
        <v>0</v>
      </c>
    </row>
    <row r="8" spans="1:45" x14ac:dyDescent="0.25">
      <c r="A8" s="24"/>
      <c r="B8" s="69" t="s">
        <v>31</v>
      </c>
      <c r="C8" s="70" t="s">
        <v>29</v>
      </c>
      <c r="D8" s="71">
        <v>10</v>
      </c>
      <c r="E8" s="72">
        <v>1</v>
      </c>
      <c r="F8" s="73" t="e">
        <f ca="1">#REF!*$E$8*$F$8</f>
        <v>#REF!</v>
      </c>
      <c r="G8" s="74" t="e">
        <f ca="1">#REF!*$E$8*$F$8</f>
        <v>#REF!</v>
      </c>
      <c r="H8" s="74" t="e">
        <f ca="1">#REF!*$E$8*$F$8</f>
        <v>#REF!</v>
      </c>
      <c r="I8" s="74" t="e">
        <f t="shared" ca="1" si="0"/>
        <v>#REF!</v>
      </c>
      <c r="J8" s="74" t="e">
        <f ca="1">#REF!*$E$8*$F$8</f>
        <v>#REF!</v>
      </c>
      <c r="K8" s="74" t="e">
        <f ca="1">#REF!*$E$8*$F$8</f>
        <v>#REF!</v>
      </c>
      <c r="L8" s="74" t="e">
        <f ca="1">#REF!*$E$8*$F$8</f>
        <v>#REF!</v>
      </c>
      <c r="M8" s="74" t="e">
        <f t="shared" ca="1" si="1"/>
        <v>#REF!</v>
      </c>
      <c r="N8" s="74" t="e">
        <f ca="1">#REF!*$E$8*$F$8</f>
        <v>#REF!</v>
      </c>
      <c r="O8" s="74">
        <v>0</v>
      </c>
      <c r="P8" s="74" t="e">
        <f ca="1">#REF!*$E$8*$F$8</f>
        <v>#REF!</v>
      </c>
      <c r="Q8" s="74" t="e">
        <f t="shared" ca="1" si="2"/>
        <v>#REF!</v>
      </c>
      <c r="R8" s="74" t="e">
        <f ca="1">#REF!*$E$8*$F$8</f>
        <v>#REF!</v>
      </c>
      <c r="S8" s="74" t="e">
        <f ca="1">#REF!*$E$8*$F$8</f>
        <v>#REF!</v>
      </c>
      <c r="T8" s="74" t="e">
        <f ca="1">#REF!*$E$8*$F$8</f>
        <v>#REF!</v>
      </c>
      <c r="U8" s="74" t="e">
        <f t="shared" ca="1" si="3"/>
        <v>#REF!</v>
      </c>
      <c r="V8" s="75" t="e">
        <f t="shared" ca="1" si="4"/>
        <v>#REF!</v>
      </c>
      <c r="W8" s="76"/>
      <c r="X8" s="77">
        <v>10</v>
      </c>
      <c r="Y8" s="78">
        <v>10</v>
      </c>
      <c r="Z8" s="78">
        <v>10</v>
      </c>
      <c r="AA8" s="79">
        <v>30</v>
      </c>
      <c r="AB8" s="79" t="e">
        <v>#REF!</v>
      </c>
      <c r="AC8" s="79">
        <v>10</v>
      </c>
      <c r="AD8" s="79">
        <v>10</v>
      </c>
      <c r="AE8" s="79">
        <v>10</v>
      </c>
      <c r="AF8" s="79">
        <v>30</v>
      </c>
      <c r="AG8" s="80">
        <v>0</v>
      </c>
      <c r="AH8" s="270">
        <v>10</v>
      </c>
      <c r="AI8" s="271">
        <v>10</v>
      </c>
      <c r="AJ8" s="271">
        <v>10</v>
      </c>
      <c r="AK8" s="271">
        <v>30</v>
      </c>
      <c r="AL8" s="271">
        <v>0</v>
      </c>
      <c r="AM8" s="271">
        <v>10</v>
      </c>
      <c r="AN8" s="271">
        <v>10</v>
      </c>
      <c r="AO8" s="271">
        <v>10</v>
      </c>
      <c r="AP8" s="271">
        <v>30</v>
      </c>
      <c r="AQ8" s="271">
        <v>0</v>
      </c>
      <c r="AR8" s="272">
        <v>120</v>
      </c>
      <c r="AS8" s="273">
        <v>0</v>
      </c>
    </row>
    <row r="9" spans="1:45" x14ac:dyDescent="0.25">
      <c r="A9" s="24"/>
      <c r="B9" s="81" t="s">
        <v>32</v>
      </c>
      <c r="C9" s="82" t="s">
        <v>33</v>
      </c>
      <c r="D9" s="83">
        <v>10</v>
      </c>
      <c r="E9" s="84">
        <v>0.9</v>
      </c>
      <c r="F9" s="85">
        <v>2310</v>
      </c>
      <c r="G9" s="86">
        <v>2345</v>
      </c>
      <c r="H9" s="86">
        <v>2835</v>
      </c>
      <c r="I9" s="86">
        <f t="shared" si="0"/>
        <v>7490</v>
      </c>
      <c r="J9" s="86">
        <v>4480</v>
      </c>
      <c r="K9" s="86">
        <v>5075</v>
      </c>
      <c r="L9" s="86">
        <v>6300</v>
      </c>
      <c r="M9" s="86">
        <f t="shared" si="1"/>
        <v>15855</v>
      </c>
      <c r="N9" s="86">
        <v>8470</v>
      </c>
      <c r="O9" s="86">
        <v>8050</v>
      </c>
      <c r="P9" s="86">
        <v>9800</v>
      </c>
      <c r="Q9" s="86">
        <f t="shared" si="2"/>
        <v>26320</v>
      </c>
      <c r="R9" s="86" t="e">
        <f>(#REF!+#REF!)*$E$9*$F$9</f>
        <v>#REF!</v>
      </c>
      <c r="S9" s="86" t="e">
        <f>(#REF!+#REF!)*$E$9*$F$9</f>
        <v>#REF!</v>
      </c>
      <c r="T9" s="86" t="e">
        <f>(#REF!+#REF!)*$E$9*$F$9</f>
        <v>#REF!</v>
      </c>
      <c r="U9" s="86" t="e">
        <f t="shared" si="3"/>
        <v>#REF!</v>
      </c>
      <c r="V9" s="87" t="e">
        <f t="shared" si="4"/>
        <v>#REF!</v>
      </c>
      <c r="W9" s="88" t="e">
        <f>(#REF!+#REF!)*$E$9*$F$9</f>
        <v>#REF!</v>
      </c>
      <c r="X9" s="89">
        <v>18</v>
      </c>
      <c r="Y9" s="86">
        <v>18</v>
      </c>
      <c r="Z9" s="86">
        <v>18</v>
      </c>
      <c r="AA9" s="90">
        <v>54</v>
      </c>
      <c r="AB9" s="90" t="e">
        <v>#REF!</v>
      </c>
      <c r="AC9" s="90">
        <v>18</v>
      </c>
      <c r="AD9" s="90">
        <v>18</v>
      </c>
      <c r="AE9" s="90">
        <v>18</v>
      </c>
      <c r="AF9" s="90">
        <v>54</v>
      </c>
      <c r="AG9" s="91">
        <v>0</v>
      </c>
      <c r="AH9" s="274">
        <v>18</v>
      </c>
      <c r="AI9" s="274">
        <v>18</v>
      </c>
      <c r="AJ9" s="275">
        <v>18</v>
      </c>
      <c r="AK9" s="275">
        <v>54</v>
      </c>
      <c r="AL9" s="275">
        <v>0</v>
      </c>
      <c r="AM9" s="275">
        <v>18</v>
      </c>
      <c r="AN9" s="275">
        <v>18</v>
      </c>
      <c r="AO9" s="275">
        <v>18</v>
      </c>
      <c r="AP9" s="275">
        <v>54</v>
      </c>
      <c r="AQ9" s="275">
        <v>0</v>
      </c>
      <c r="AR9" s="276">
        <v>216</v>
      </c>
      <c r="AS9" s="277">
        <v>0</v>
      </c>
    </row>
    <row r="10" spans="1:45" x14ac:dyDescent="0.25">
      <c r="A10" s="24"/>
      <c r="B10" s="92"/>
      <c r="C10" s="93" t="s">
        <v>34</v>
      </c>
      <c r="D10" s="94">
        <v>10</v>
      </c>
      <c r="E10" s="95">
        <v>0.5</v>
      </c>
      <c r="F10" s="96">
        <v>1914</v>
      </c>
      <c r="G10" s="97">
        <v>1943</v>
      </c>
      <c r="H10" s="97">
        <v>2349</v>
      </c>
      <c r="I10" s="97">
        <f t="shared" si="0"/>
        <v>6206</v>
      </c>
      <c r="J10" s="97">
        <v>3712</v>
      </c>
      <c r="K10" s="97">
        <v>4205</v>
      </c>
      <c r="L10" s="97">
        <v>5220</v>
      </c>
      <c r="M10" s="97">
        <f t="shared" si="1"/>
        <v>13137</v>
      </c>
      <c r="N10" s="97">
        <v>7018</v>
      </c>
      <c r="O10" s="97">
        <v>6670</v>
      </c>
      <c r="P10" s="97">
        <v>8120.0000000000009</v>
      </c>
      <c r="Q10" s="97">
        <f t="shared" si="2"/>
        <v>21808</v>
      </c>
      <c r="R10" s="97">
        <v>5785.5</v>
      </c>
      <c r="S10" s="97">
        <v>5501.2999999999993</v>
      </c>
      <c r="T10" s="97">
        <v>6496</v>
      </c>
      <c r="U10" s="97">
        <f t="shared" si="3"/>
        <v>17782.8</v>
      </c>
      <c r="V10" s="98">
        <f t="shared" si="4"/>
        <v>58933.8</v>
      </c>
      <c r="W10" s="99" t="e">
        <f>(#REF!+#REF!)*$E$10*$F$10</f>
        <v>#REF!</v>
      </c>
      <c r="X10" s="100">
        <v>10</v>
      </c>
      <c r="Y10" s="97">
        <v>10</v>
      </c>
      <c r="Z10" s="97">
        <v>10</v>
      </c>
      <c r="AA10" s="101">
        <v>30</v>
      </c>
      <c r="AB10" s="101" t="e">
        <v>#REF!</v>
      </c>
      <c r="AC10" s="101">
        <v>10</v>
      </c>
      <c r="AD10" s="101">
        <v>10</v>
      </c>
      <c r="AE10" s="101">
        <v>10</v>
      </c>
      <c r="AF10" s="101">
        <v>30</v>
      </c>
      <c r="AG10" s="102">
        <v>0</v>
      </c>
      <c r="AH10" s="278">
        <v>10</v>
      </c>
      <c r="AI10" s="278">
        <v>10</v>
      </c>
      <c r="AJ10" s="279">
        <v>10</v>
      </c>
      <c r="AK10" s="279">
        <v>30</v>
      </c>
      <c r="AL10" s="279">
        <v>0</v>
      </c>
      <c r="AM10" s="279">
        <v>10</v>
      </c>
      <c r="AN10" s="279">
        <v>10</v>
      </c>
      <c r="AO10" s="279">
        <v>10</v>
      </c>
      <c r="AP10" s="279">
        <v>30</v>
      </c>
      <c r="AQ10" s="279">
        <v>0</v>
      </c>
      <c r="AR10" s="280">
        <v>120</v>
      </c>
      <c r="AS10" s="281">
        <v>0</v>
      </c>
    </row>
    <row r="11" spans="1:45" x14ac:dyDescent="0.25">
      <c r="A11" s="24"/>
      <c r="B11" s="103"/>
      <c r="C11" s="104" t="s">
        <v>35</v>
      </c>
      <c r="D11" s="104">
        <v>10</v>
      </c>
      <c r="E11" s="105">
        <v>0.2</v>
      </c>
      <c r="F11" s="106">
        <v>0</v>
      </c>
      <c r="G11" s="107">
        <v>0</v>
      </c>
      <c r="H11" s="107">
        <v>530</v>
      </c>
      <c r="I11" s="107">
        <f t="shared" si="0"/>
        <v>530</v>
      </c>
      <c r="J11" s="107">
        <v>160</v>
      </c>
      <c r="K11" s="107">
        <v>882.5</v>
      </c>
      <c r="L11" s="107">
        <v>965</v>
      </c>
      <c r="M11" s="107">
        <f t="shared" si="1"/>
        <v>2007.5</v>
      </c>
      <c r="N11" s="107">
        <v>1312.5</v>
      </c>
      <c r="O11" s="107">
        <v>625</v>
      </c>
      <c r="P11" s="107">
        <v>409.2</v>
      </c>
      <c r="Q11" s="107">
        <f t="shared" si="2"/>
        <v>2346.6999999999998</v>
      </c>
      <c r="R11" s="107">
        <v>162</v>
      </c>
      <c r="S11" s="107">
        <v>150.6</v>
      </c>
      <c r="T11" s="107">
        <v>183</v>
      </c>
      <c r="U11" s="107">
        <f t="shared" si="3"/>
        <v>495.6</v>
      </c>
      <c r="V11" s="108">
        <f t="shared" si="4"/>
        <v>5379.8</v>
      </c>
      <c r="W11" s="109" t="e">
        <f>(#REF!+#REF!)*$E$11*$F$11</f>
        <v>#REF!</v>
      </c>
      <c r="X11" s="110">
        <v>4</v>
      </c>
      <c r="Y11" s="107">
        <v>4</v>
      </c>
      <c r="Z11" s="107">
        <v>4</v>
      </c>
      <c r="AA11" s="111">
        <v>12</v>
      </c>
      <c r="AB11" s="111" t="e">
        <v>#REF!</v>
      </c>
      <c r="AC11" s="111">
        <v>4</v>
      </c>
      <c r="AD11" s="111">
        <v>4</v>
      </c>
      <c r="AE11" s="111">
        <v>4</v>
      </c>
      <c r="AF11" s="111">
        <v>12</v>
      </c>
      <c r="AG11" s="112">
        <v>0</v>
      </c>
      <c r="AH11" s="282">
        <v>4</v>
      </c>
      <c r="AI11" s="282">
        <v>4</v>
      </c>
      <c r="AJ11" s="283">
        <v>4</v>
      </c>
      <c r="AK11" s="283">
        <v>12</v>
      </c>
      <c r="AL11" s="283">
        <v>0</v>
      </c>
      <c r="AM11" s="283">
        <v>4</v>
      </c>
      <c r="AN11" s="283">
        <v>4</v>
      </c>
      <c r="AO11" s="283">
        <v>4</v>
      </c>
      <c r="AP11" s="283">
        <v>12</v>
      </c>
      <c r="AQ11" s="283">
        <v>0</v>
      </c>
      <c r="AR11" s="284">
        <v>48</v>
      </c>
      <c r="AS11" s="285">
        <v>0</v>
      </c>
    </row>
    <row r="12" spans="1:45" x14ac:dyDescent="0.25">
      <c r="A12" s="24"/>
      <c r="B12" s="81" t="s">
        <v>36</v>
      </c>
      <c r="C12" s="83" t="s">
        <v>37</v>
      </c>
      <c r="D12" s="83">
        <v>10</v>
      </c>
      <c r="E12" s="84">
        <v>0.9</v>
      </c>
      <c r="F12" s="85" t="e">
        <f ca="1">#REF!*$E$12*$F$12</f>
        <v>#REF!</v>
      </c>
      <c r="G12" s="86" t="e">
        <f ca="1">#REF!*$E$12*$F$12</f>
        <v>#REF!</v>
      </c>
      <c r="H12" s="86" t="e">
        <f ca="1">#REF!*$E$12*$F$12</f>
        <v>#REF!</v>
      </c>
      <c r="I12" s="86" t="e">
        <f t="shared" ca="1" si="0"/>
        <v>#REF!</v>
      </c>
      <c r="J12" s="86" t="e">
        <f ca="1">#REF!*$E$12*$F$12</f>
        <v>#REF!</v>
      </c>
      <c r="K12" s="86" t="e">
        <f ca="1">#REF!*$E$12*$F$12</f>
        <v>#REF!</v>
      </c>
      <c r="L12" s="86" t="e">
        <f ca="1">#REF!*$E$12*$F$12</f>
        <v>#REF!</v>
      </c>
      <c r="M12" s="86" t="e">
        <f t="shared" ca="1" si="1"/>
        <v>#REF!</v>
      </c>
      <c r="N12" s="86" t="e">
        <f ca="1">#REF!*$E$12*$F$12</f>
        <v>#REF!</v>
      </c>
      <c r="O12" s="86" t="e">
        <f ca="1">#REF!*$E$12*$F$12</f>
        <v>#REF!</v>
      </c>
      <c r="P12" s="86" t="e">
        <f ca="1">#REF!*$E$12*$F$12</f>
        <v>#REF!</v>
      </c>
      <c r="Q12" s="86" t="e">
        <f t="shared" ca="1" si="2"/>
        <v>#REF!</v>
      </c>
      <c r="R12" s="86" t="e">
        <f ca="1">#REF!*$E$12*$F$12</f>
        <v>#REF!</v>
      </c>
      <c r="S12" s="86" t="e">
        <f ca="1">#REF!*$E$12*$F$12</f>
        <v>#REF!</v>
      </c>
      <c r="T12" s="86" t="e">
        <f ca="1">#REF!*$E$12*$F$12</f>
        <v>#REF!</v>
      </c>
      <c r="U12" s="86" t="e">
        <f t="shared" ca="1" si="3"/>
        <v>#REF!</v>
      </c>
      <c r="V12" s="87" t="e">
        <f t="shared" ca="1" si="4"/>
        <v>#REF!</v>
      </c>
      <c r="W12" s="88" t="e">
        <f ca="1">#REF!*$E$12*$F$12</f>
        <v>#REF!</v>
      </c>
      <c r="X12" s="89">
        <v>9</v>
      </c>
      <c r="Y12" s="86">
        <v>9</v>
      </c>
      <c r="Z12" s="86">
        <v>9</v>
      </c>
      <c r="AA12" s="90">
        <v>27</v>
      </c>
      <c r="AB12" s="90" t="e">
        <v>#REF!</v>
      </c>
      <c r="AC12" s="90">
        <v>9</v>
      </c>
      <c r="AD12" s="90">
        <v>9</v>
      </c>
      <c r="AE12" s="90">
        <v>9</v>
      </c>
      <c r="AF12" s="90">
        <v>27</v>
      </c>
      <c r="AG12" s="91">
        <v>0</v>
      </c>
      <c r="AH12" s="274">
        <v>9</v>
      </c>
      <c r="AI12" s="274">
        <v>9</v>
      </c>
      <c r="AJ12" s="275">
        <v>9</v>
      </c>
      <c r="AK12" s="275">
        <v>27</v>
      </c>
      <c r="AL12" s="275">
        <v>0</v>
      </c>
      <c r="AM12" s="275">
        <v>9</v>
      </c>
      <c r="AN12" s="275">
        <v>9</v>
      </c>
      <c r="AO12" s="275">
        <v>9</v>
      </c>
      <c r="AP12" s="275">
        <v>27</v>
      </c>
      <c r="AQ12" s="286">
        <v>0</v>
      </c>
      <c r="AR12" s="276">
        <v>108</v>
      </c>
      <c r="AS12" s="277">
        <v>0</v>
      </c>
    </row>
    <row r="13" spans="1:45" x14ac:dyDescent="0.25">
      <c r="A13" s="24"/>
      <c r="B13" s="92"/>
      <c r="C13" s="93" t="s">
        <v>38</v>
      </c>
      <c r="D13" s="94">
        <v>10</v>
      </c>
      <c r="E13" s="95">
        <v>0.5</v>
      </c>
      <c r="F13" s="96" t="e">
        <f ca="1">#REF!*$E$13*$F$13</f>
        <v>#REF!</v>
      </c>
      <c r="G13" s="97" t="e">
        <f ca="1">#REF!*$E$13*$F$13</f>
        <v>#REF!</v>
      </c>
      <c r="H13" s="97" t="e">
        <f ca="1">#REF!*$E$13*$F$13</f>
        <v>#REF!</v>
      </c>
      <c r="I13" s="97" t="e">
        <f t="shared" ca="1" si="0"/>
        <v>#REF!</v>
      </c>
      <c r="J13" s="97" t="e">
        <f ca="1">#REF!*$E$13*$F$13</f>
        <v>#REF!</v>
      </c>
      <c r="K13" s="97" t="e">
        <f ca="1">#REF!*$E$13*$F$13</f>
        <v>#REF!</v>
      </c>
      <c r="L13" s="97" t="e">
        <f ca="1">#REF!*$E$13*$F$13</f>
        <v>#REF!</v>
      </c>
      <c r="M13" s="97" t="e">
        <f t="shared" ca="1" si="1"/>
        <v>#REF!</v>
      </c>
      <c r="N13" s="97" t="e">
        <f ca="1">#REF!*$E$13*$F$13</f>
        <v>#REF!</v>
      </c>
      <c r="O13" s="97" t="e">
        <f ca="1">#REF!*$E$13*$F$13</f>
        <v>#REF!</v>
      </c>
      <c r="P13" s="97" t="e">
        <f ca="1">#REF!*$E$13*$F$13</f>
        <v>#REF!</v>
      </c>
      <c r="Q13" s="97" t="e">
        <f t="shared" ca="1" si="2"/>
        <v>#REF!</v>
      </c>
      <c r="R13" s="97" t="e">
        <f ca="1">#REF!*$E$13*$F$13</f>
        <v>#REF!</v>
      </c>
      <c r="S13" s="97" t="e">
        <f ca="1">#REF!*$E$13*$F$13</f>
        <v>#REF!</v>
      </c>
      <c r="T13" s="97" t="e">
        <f ca="1">#REF!*$E$13*$F$13</f>
        <v>#REF!</v>
      </c>
      <c r="U13" s="97" t="e">
        <f t="shared" ca="1" si="3"/>
        <v>#REF!</v>
      </c>
      <c r="V13" s="98" t="e">
        <f t="shared" ca="1" si="4"/>
        <v>#REF!</v>
      </c>
      <c r="W13" s="99" t="e">
        <f ca="1">#REF!*$E$13*$F$13</f>
        <v>#REF!</v>
      </c>
      <c r="X13" s="100">
        <v>5</v>
      </c>
      <c r="Y13" s="97">
        <v>5</v>
      </c>
      <c r="Z13" s="97">
        <v>5</v>
      </c>
      <c r="AA13" s="101">
        <v>15</v>
      </c>
      <c r="AB13" s="101" t="e">
        <v>#REF!</v>
      </c>
      <c r="AC13" s="101">
        <v>5</v>
      </c>
      <c r="AD13" s="101">
        <v>5</v>
      </c>
      <c r="AE13" s="101">
        <v>5</v>
      </c>
      <c r="AF13" s="101">
        <v>15</v>
      </c>
      <c r="AG13" s="102">
        <v>0</v>
      </c>
      <c r="AH13" s="278">
        <v>5</v>
      </c>
      <c r="AI13" s="278">
        <v>5</v>
      </c>
      <c r="AJ13" s="279">
        <v>5</v>
      </c>
      <c r="AK13" s="279">
        <v>15</v>
      </c>
      <c r="AL13" s="279">
        <v>0</v>
      </c>
      <c r="AM13" s="279">
        <v>5</v>
      </c>
      <c r="AN13" s="279">
        <v>5</v>
      </c>
      <c r="AO13" s="279">
        <v>5</v>
      </c>
      <c r="AP13" s="279">
        <v>15</v>
      </c>
      <c r="AQ13" s="287">
        <v>0</v>
      </c>
      <c r="AR13" s="280">
        <v>60</v>
      </c>
      <c r="AS13" s="281">
        <v>0</v>
      </c>
    </row>
    <row r="14" spans="1:45" x14ac:dyDescent="0.25">
      <c r="A14" s="24"/>
      <c r="B14" s="92"/>
      <c r="C14" s="94" t="s">
        <v>35</v>
      </c>
      <c r="D14" s="94">
        <v>10</v>
      </c>
      <c r="E14" s="113">
        <v>1</v>
      </c>
      <c r="F14" s="96" t="e">
        <f ca="1">#REF!*$E$14*$F$14</f>
        <v>#REF!</v>
      </c>
      <c r="G14" s="97" t="e">
        <f ca="1">#REF!*$E$14*$F$14</f>
        <v>#REF!</v>
      </c>
      <c r="H14" s="97" t="e">
        <f ca="1">#REF!*$E$14*$F$14</f>
        <v>#REF!</v>
      </c>
      <c r="I14" s="97" t="e">
        <f t="shared" ca="1" si="0"/>
        <v>#REF!</v>
      </c>
      <c r="J14" s="97" t="e">
        <f ca="1">#REF!*$E$14*$F$14</f>
        <v>#REF!</v>
      </c>
      <c r="K14" s="97" t="e">
        <f ca="1">#REF!*$E$14*$F$14</f>
        <v>#REF!</v>
      </c>
      <c r="L14" s="97" t="e">
        <f ca="1">#REF!*$E$14*$F$14</f>
        <v>#REF!</v>
      </c>
      <c r="M14" s="97" t="e">
        <f t="shared" ca="1" si="1"/>
        <v>#REF!</v>
      </c>
      <c r="N14" s="97" t="e">
        <f ca="1">#REF!*$E$14*$F$14</f>
        <v>#REF!</v>
      </c>
      <c r="O14" s="97" t="e">
        <f ca="1">#REF!*$E$14*$F$14</f>
        <v>#REF!</v>
      </c>
      <c r="P14" s="97" t="e">
        <f ca="1">#REF!*$E$14*$F$14</f>
        <v>#REF!</v>
      </c>
      <c r="Q14" s="97" t="e">
        <f t="shared" ca="1" si="2"/>
        <v>#REF!</v>
      </c>
      <c r="R14" s="97" t="e">
        <f ca="1">#REF!*$E$14*$F$14</f>
        <v>#REF!</v>
      </c>
      <c r="S14" s="97" t="e">
        <f ca="1">#REF!*$E$14*$F$14</f>
        <v>#REF!</v>
      </c>
      <c r="T14" s="97" t="e">
        <f ca="1">#REF!*$E$14*$F$14</f>
        <v>#REF!</v>
      </c>
      <c r="U14" s="97" t="e">
        <f t="shared" ca="1" si="3"/>
        <v>#REF!</v>
      </c>
      <c r="V14" s="98" t="e">
        <f t="shared" ca="1" si="4"/>
        <v>#REF!</v>
      </c>
      <c r="W14" s="99" t="e">
        <f ca="1">#REF!*$E$14*$F$14</f>
        <v>#REF!</v>
      </c>
      <c r="X14" s="100">
        <v>10</v>
      </c>
      <c r="Y14" s="97">
        <v>10</v>
      </c>
      <c r="Z14" s="97">
        <v>10</v>
      </c>
      <c r="AA14" s="101">
        <v>30</v>
      </c>
      <c r="AB14" s="101" t="e">
        <v>#REF!</v>
      </c>
      <c r="AC14" s="101">
        <v>10</v>
      </c>
      <c r="AD14" s="101">
        <v>10</v>
      </c>
      <c r="AE14" s="101">
        <v>10</v>
      </c>
      <c r="AF14" s="101">
        <v>30</v>
      </c>
      <c r="AG14" s="102">
        <v>0</v>
      </c>
      <c r="AH14" s="278">
        <v>10</v>
      </c>
      <c r="AI14" s="278">
        <v>10</v>
      </c>
      <c r="AJ14" s="279">
        <v>10</v>
      </c>
      <c r="AK14" s="279">
        <v>30</v>
      </c>
      <c r="AL14" s="279">
        <v>0</v>
      </c>
      <c r="AM14" s="279">
        <v>10</v>
      </c>
      <c r="AN14" s="279">
        <v>10</v>
      </c>
      <c r="AO14" s="279">
        <v>10</v>
      </c>
      <c r="AP14" s="279">
        <v>30</v>
      </c>
      <c r="AQ14" s="287">
        <v>0</v>
      </c>
      <c r="AR14" s="280">
        <v>120</v>
      </c>
      <c r="AS14" s="281">
        <v>0</v>
      </c>
    </row>
    <row r="15" spans="1:45" x14ac:dyDescent="0.25">
      <c r="A15" s="24"/>
      <c r="B15" s="103"/>
      <c r="C15" s="104" t="s">
        <v>39</v>
      </c>
      <c r="D15" s="104">
        <v>10</v>
      </c>
      <c r="E15" s="105">
        <v>0.8</v>
      </c>
      <c r="F15" s="106" t="e">
        <f ca="1">#REF!*$E$15*$F$15</f>
        <v>#REF!</v>
      </c>
      <c r="G15" s="107" t="e">
        <f ca="1">#REF!*$E$15*$F$15</f>
        <v>#REF!</v>
      </c>
      <c r="H15" s="107" t="e">
        <f ca="1">#REF!*$E$15*$F$15</f>
        <v>#REF!</v>
      </c>
      <c r="I15" s="107" t="e">
        <f t="shared" ca="1" si="0"/>
        <v>#REF!</v>
      </c>
      <c r="J15" s="107" t="e">
        <f ca="1">#REF!*$E$15*$F$15</f>
        <v>#REF!</v>
      </c>
      <c r="K15" s="107" t="e">
        <f ca="1">#REF!*$E$15*$F$15</f>
        <v>#REF!</v>
      </c>
      <c r="L15" s="107" t="e">
        <f ca="1">#REF!*$E$15*$F$15</f>
        <v>#REF!</v>
      </c>
      <c r="M15" s="107" t="e">
        <f t="shared" ca="1" si="1"/>
        <v>#REF!</v>
      </c>
      <c r="N15" s="107" t="e">
        <f ca="1">#REF!*$E$15*$F$15</f>
        <v>#REF!</v>
      </c>
      <c r="O15" s="107" t="e">
        <f ca="1">#REF!*$E$15*$F$15</f>
        <v>#REF!</v>
      </c>
      <c r="P15" s="107" t="e">
        <f ca="1">#REF!*$E$15*$F$15</f>
        <v>#REF!</v>
      </c>
      <c r="Q15" s="107" t="e">
        <f t="shared" ca="1" si="2"/>
        <v>#REF!</v>
      </c>
      <c r="R15" s="107" t="e">
        <f ca="1">#REF!*$E$15*$F$15</f>
        <v>#REF!</v>
      </c>
      <c r="S15" s="107" t="e">
        <f ca="1">#REF!*$E$15*$F$15</f>
        <v>#REF!</v>
      </c>
      <c r="T15" s="107" t="e">
        <f ca="1">#REF!*$E$15*$F$15</f>
        <v>#REF!</v>
      </c>
      <c r="U15" s="107" t="e">
        <f t="shared" ca="1" si="3"/>
        <v>#REF!</v>
      </c>
      <c r="V15" s="108" t="e">
        <f t="shared" ca="1" si="4"/>
        <v>#REF!</v>
      </c>
      <c r="W15" s="109" t="e">
        <f ca="1">#REF!*$E$15*$F$15</f>
        <v>#REF!</v>
      </c>
      <c r="X15" s="110">
        <v>8</v>
      </c>
      <c r="Y15" s="107">
        <v>8</v>
      </c>
      <c r="Z15" s="107">
        <v>8</v>
      </c>
      <c r="AA15" s="111">
        <v>24</v>
      </c>
      <c r="AB15" s="111" t="e">
        <v>#REF!</v>
      </c>
      <c r="AC15" s="111">
        <v>8</v>
      </c>
      <c r="AD15" s="111">
        <v>8</v>
      </c>
      <c r="AE15" s="111">
        <v>8</v>
      </c>
      <c r="AF15" s="111">
        <v>24</v>
      </c>
      <c r="AG15" s="112">
        <v>0</v>
      </c>
      <c r="AH15" s="282">
        <v>8</v>
      </c>
      <c r="AI15" s="282">
        <v>8</v>
      </c>
      <c r="AJ15" s="283">
        <v>8</v>
      </c>
      <c r="AK15" s="283">
        <v>24</v>
      </c>
      <c r="AL15" s="283">
        <v>0</v>
      </c>
      <c r="AM15" s="283">
        <v>8</v>
      </c>
      <c r="AN15" s="283">
        <v>8</v>
      </c>
      <c r="AO15" s="283">
        <v>8</v>
      </c>
      <c r="AP15" s="283">
        <v>24</v>
      </c>
      <c r="AQ15" s="288">
        <v>0</v>
      </c>
      <c r="AR15" s="284">
        <v>96</v>
      </c>
      <c r="AS15" s="285">
        <v>0</v>
      </c>
    </row>
    <row r="16" spans="1:45" x14ac:dyDescent="0.25">
      <c r="A16" s="24"/>
      <c r="B16" s="81" t="s">
        <v>40</v>
      </c>
      <c r="C16" s="83" t="s">
        <v>33</v>
      </c>
      <c r="D16" s="83">
        <v>10</v>
      </c>
      <c r="E16" s="84">
        <v>0.9</v>
      </c>
      <c r="F16" s="85" t="e">
        <f ca="1">#REF!*$E$16*$F$16</f>
        <v>#REF!</v>
      </c>
      <c r="G16" s="86" t="e">
        <f ca="1">#REF!*$E$16*$F$16</f>
        <v>#REF!</v>
      </c>
      <c r="H16" s="86" t="e">
        <f ca="1">#REF!*$E$16*$F$16</f>
        <v>#REF!</v>
      </c>
      <c r="I16" s="86" t="e">
        <f t="shared" ca="1" si="0"/>
        <v>#REF!</v>
      </c>
      <c r="J16" s="86" t="e">
        <f ca="1">#REF!*$E$16*$F$16</f>
        <v>#REF!</v>
      </c>
      <c r="K16" s="86" t="e">
        <f ca="1">#REF!*$E$16*$F$16</f>
        <v>#REF!</v>
      </c>
      <c r="L16" s="86" t="e">
        <f ca="1">#REF!*$E$16*$F$16</f>
        <v>#REF!</v>
      </c>
      <c r="M16" s="86" t="e">
        <f t="shared" ca="1" si="1"/>
        <v>#REF!</v>
      </c>
      <c r="N16" s="86" t="e">
        <f ca="1">#REF!*$E$16*$F$16</f>
        <v>#REF!</v>
      </c>
      <c r="O16" s="86" t="e">
        <f ca="1">#REF!*$E$16*$F$16</f>
        <v>#REF!</v>
      </c>
      <c r="P16" s="86" t="e">
        <f ca="1">#REF!*$E$16*$F$16</f>
        <v>#REF!</v>
      </c>
      <c r="Q16" s="86" t="e">
        <f t="shared" ca="1" si="2"/>
        <v>#REF!</v>
      </c>
      <c r="R16" s="86" t="e">
        <f ca="1">#REF!*$E$16*$F$16</f>
        <v>#REF!</v>
      </c>
      <c r="S16" s="86" t="e">
        <f ca="1">#REF!*$E$16*$F$16</f>
        <v>#REF!</v>
      </c>
      <c r="T16" s="86" t="e">
        <f ca="1">#REF!*$E$16*$F$16</f>
        <v>#REF!</v>
      </c>
      <c r="U16" s="86" t="e">
        <f t="shared" ca="1" si="3"/>
        <v>#REF!</v>
      </c>
      <c r="V16" s="87" t="e">
        <f t="shared" ca="1" si="4"/>
        <v>#REF!</v>
      </c>
      <c r="W16" s="88" t="e">
        <f ca="1">#REF!*$E$16*$F$16</f>
        <v>#REF!</v>
      </c>
      <c r="X16" s="89">
        <v>9</v>
      </c>
      <c r="Y16" s="86">
        <v>9</v>
      </c>
      <c r="Z16" s="86">
        <v>9</v>
      </c>
      <c r="AA16" s="90">
        <v>27</v>
      </c>
      <c r="AB16" s="90" t="e">
        <v>#REF!</v>
      </c>
      <c r="AC16" s="90">
        <v>10</v>
      </c>
      <c r="AD16" s="90">
        <v>10</v>
      </c>
      <c r="AE16" s="90">
        <v>10</v>
      </c>
      <c r="AF16" s="90">
        <v>30</v>
      </c>
      <c r="AG16" s="91">
        <v>0</v>
      </c>
      <c r="AH16" s="289">
        <v>10</v>
      </c>
      <c r="AI16" s="289">
        <v>10</v>
      </c>
      <c r="AJ16" s="275">
        <v>9</v>
      </c>
      <c r="AK16" s="275">
        <v>29</v>
      </c>
      <c r="AL16" s="286">
        <v>0</v>
      </c>
      <c r="AM16" s="275">
        <v>9</v>
      </c>
      <c r="AN16" s="275">
        <v>9</v>
      </c>
      <c r="AO16" s="275">
        <v>9</v>
      </c>
      <c r="AP16" s="275">
        <v>27</v>
      </c>
      <c r="AQ16" s="286">
        <v>0</v>
      </c>
      <c r="AR16" s="276">
        <v>113</v>
      </c>
      <c r="AS16" s="290">
        <v>0</v>
      </c>
    </row>
    <row r="17" spans="1:45" x14ac:dyDescent="0.25">
      <c r="A17" s="24"/>
      <c r="B17" s="103"/>
      <c r="C17" s="104" t="s">
        <v>41</v>
      </c>
      <c r="D17" s="104">
        <v>10</v>
      </c>
      <c r="E17" s="105">
        <v>1</v>
      </c>
      <c r="F17" s="106"/>
      <c r="G17" s="107"/>
      <c r="H17" s="107"/>
      <c r="I17" s="107">
        <f t="shared" si="0"/>
        <v>0</v>
      </c>
      <c r="J17" s="107"/>
      <c r="K17" s="107"/>
      <c r="L17" s="107"/>
      <c r="M17" s="107">
        <f t="shared" si="1"/>
        <v>0</v>
      </c>
      <c r="N17" s="107"/>
      <c r="O17" s="107"/>
      <c r="P17" s="107"/>
      <c r="Q17" s="107">
        <f t="shared" si="2"/>
        <v>0</v>
      </c>
      <c r="R17" s="107"/>
      <c r="S17" s="107"/>
      <c r="T17" s="107"/>
      <c r="U17" s="107">
        <f t="shared" si="3"/>
        <v>0</v>
      </c>
      <c r="V17" s="108">
        <f t="shared" si="4"/>
        <v>0</v>
      </c>
      <c r="W17" s="109"/>
      <c r="X17" s="110"/>
      <c r="Y17" s="107"/>
      <c r="Z17" s="107">
        <v>10</v>
      </c>
      <c r="AA17" s="111">
        <v>10</v>
      </c>
      <c r="AB17" s="111" t="e">
        <v>#REF!</v>
      </c>
      <c r="AC17" s="111">
        <v>3</v>
      </c>
      <c r="AD17" s="111">
        <v>40</v>
      </c>
      <c r="AE17" s="111">
        <v>100</v>
      </c>
      <c r="AF17" s="111">
        <v>143</v>
      </c>
      <c r="AG17" s="112">
        <v>0</v>
      </c>
      <c r="AH17" s="291">
        <v>60</v>
      </c>
      <c r="AI17" s="291">
        <v>110</v>
      </c>
      <c r="AJ17" s="283">
        <v>10</v>
      </c>
      <c r="AK17" s="283">
        <v>180</v>
      </c>
      <c r="AL17" s="288">
        <v>0</v>
      </c>
      <c r="AM17" s="283">
        <v>10</v>
      </c>
      <c r="AN17" s="283">
        <v>10</v>
      </c>
      <c r="AO17" s="283">
        <v>10</v>
      </c>
      <c r="AP17" s="283">
        <v>30</v>
      </c>
      <c r="AQ17" s="288">
        <v>0</v>
      </c>
      <c r="AR17" s="284">
        <v>363</v>
      </c>
      <c r="AS17" s="292">
        <v>0</v>
      </c>
    </row>
    <row r="18" spans="1:45" x14ac:dyDescent="0.25">
      <c r="A18" s="24"/>
      <c r="B18" s="114" t="s">
        <v>42</v>
      </c>
      <c r="C18" s="115" t="s">
        <v>43</v>
      </c>
      <c r="D18" s="116">
        <v>10</v>
      </c>
      <c r="E18" s="117">
        <v>0.8</v>
      </c>
      <c r="F18" s="118"/>
      <c r="G18" s="119"/>
      <c r="H18" s="119"/>
      <c r="I18" s="119">
        <f t="shared" si="0"/>
        <v>0</v>
      </c>
      <c r="J18" s="119"/>
      <c r="K18" s="119"/>
      <c r="L18" s="119"/>
      <c r="M18" s="119">
        <f t="shared" ref="M18" si="5">SUM(J18:L18)</f>
        <v>0</v>
      </c>
      <c r="N18" s="119" t="e">
        <f ca="1">#REF!*$E$19*$F$19</f>
        <v>#REF!</v>
      </c>
      <c r="O18" s="119" t="e">
        <f ca="1">#REF!*$E$19*$F$19</f>
        <v>#REF!</v>
      </c>
      <c r="P18" s="119" t="e">
        <f ca="1">#REF!*$E$19*$F$19</f>
        <v>#REF!</v>
      </c>
      <c r="Q18" s="119" t="e">
        <f t="shared" ref="Q18" ca="1" si="6">SUM(N18:P18)</f>
        <v>#REF!</v>
      </c>
      <c r="R18" s="119"/>
      <c r="S18" s="119"/>
      <c r="T18" s="119"/>
      <c r="U18" s="119">
        <f t="shared" si="3"/>
        <v>0</v>
      </c>
      <c r="V18" s="120" t="e">
        <f t="shared" ca="1" si="4"/>
        <v>#REF!</v>
      </c>
      <c r="W18" s="121"/>
      <c r="X18" s="122"/>
      <c r="Y18" s="119"/>
      <c r="Z18" s="119"/>
      <c r="AA18" s="123">
        <v>0</v>
      </c>
      <c r="AB18" s="123" t="e">
        <v>#REF!</v>
      </c>
      <c r="AC18" s="123"/>
      <c r="AD18" s="123"/>
      <c r="AE18" s="123"/>
      <c r="AF18" s="123">
        <v>0</v>
      </c>
      <c r="AG18" s="124">
        <v>0</v>
      </c>
      <c r="AH18" s="293">
        <v>8</v>
      </c>
      <c r="AI18" s="294">
        <v>8</v>
      </c>
      <c r="AJ18" s="294">
        <v>8</v>
      </c>
      <c r="AK18" s="294">
        <v>24</v>
      </c>
      <c r="AL18" s="294">
        <v>0</v>
      </c>
      <c r="AM18" s="294">
        <v>8</v>
      </c>
      <c r="AN18" s="294">
        <v>8</v>
      </c>
      <c r="AO18" s="294">
        <v>8</v>
      </c>
      <c r="AP18" s="294">
        <v>24</v>
      </c>
      <c r="AQ18" s="294">
        <v>0</v>
      </c>
      <c r="AR18" s="295">
        <v>48</v>
      </c>
      <c r="AS18" s="296">
        <v>0</v>
      </c>
    </row>
    <row r="19" spans="1:45" x14ac:dyDescent="0.25">
      <c r="A19" s="24"/>
      <c r="B19" s="125" t="s">
        <v>44</v>
      </c>
      <c r="C19" s="126" t="s">
        <v>33</v>
      </c>
      <c r="D19" s="126">
        <v>10</v>
      </c>
      <c r="E19" s="127">
        <v>1</v>
      </c>
      <c r="F19" s="128" t="e">
        <f ca="1">#REF!*$E$19*$F$19</f>
        <v>#REF!</v>
      </c>
      <c r="G19" s="129" t="e">
        <f ca="1">#REF!*$E$19*$F$19</f>
        <v>#REF!</v>
      </c>
      <c r="H19" s="129" t="e">
        <f ca="1">#REF!*$E$19*$F$19</f>
        <v>#REF!</v>
      </c>
      <c r="I19" s="129" t="e">
        <f t="shared" ca="1" si="0"/>
        <v>#REF!</v>
      </c>
      <c r="J19" s="129" t="e">
        <f ca="1">#REF!*$E$19*$F$19</f>
        <v>#REF!</v>
      </c>
      <c r="K19" s="129" t="e">
        <f ca="1">#REF!*$E$19*$F$19</f>
        <v>#REF!</v>
      </c>
      <c r="L19" s="129" t="e">
        <f ca="1">#REF!*$E$19*$F$19</f>
        <v>#REF!</v>
      </c>
      <c r="M19" s="129" t="e">
        <f t="shared" ca="1" si="1"/>
        <v>#REF!</v>
      </c>
      <c r="N19" s="129" t="e">
        <f ca="1">#REF!*$E$19*$F$19</f>
        <v>#REF!</v>
      </c>
      <c r="O19" s="129" t="e">
        <f ca="1">#REF!*$E$19*$F$19</f>
        <v>#REF!</v>
      </c>
      <c r="P19" s="129" t="e">
        <f ca="1">#REF!*$E$19*$F$19</f>
        <v>#REF!</v>
      </c>
      <c r="Q19" s="129" t="e">
        <f t="shared" ca="1" si="2"/>
        <v>#REF!</v>
      </c>
      <c r="R19" s="129" t="e">
        <f ca="1">#REF!*$E$19*$F$19</f>
        <v>#REF!</v>
      </c>
      <c r="S19" s="129" t="e">
        <f ca="1">#REF!*$E$19*$F$19</f>
        <v>#REF!</v>
      </c>
      <c r="T19" s="129" t="e">
        <f ca="1">#REF!*$E$19*$F$19</f>
        <v>#REF!</v>
      </c>
      <c r="U19" s="129" t="e">
        <f t="shared" ca="1" si="3"/>
        <v>#REF!</v>
      </c>
      <c r="V19" s="130" t="e">
        <f t="shared" ca="1" si="4"/>
        <v>#REF!</v>
      </c>
      <c r="W19" s="131" t="e">
        <f ca="1">#REF!*$E$19*$F$19</f>
        <v>#REF!</v>
      </c>
      <c r="X19" s="132">
        <v>9</v>
      </c>
      <c r="Y19" s="129">
        <v>9</v>
      </c>
      <c r="Z19" s="129">
        <v>9</v>
      </c>
      <c r="AA19" s="133">
        <v>27</v>
      </c>
      <c r="AB19" s="133" t="e">
        <v>#REF!</v>
      </c>
      <c r="AC19" s="133">
        <v>9</v>
      </c>
      <c r="AD19" s="133">
        <v>9</v>
      </c>
      <c r="AE19" s="133">
        <v>9</v>
      </c>
      <c r="AF19" s="133">
        <v>27</v>
      </c>
      <c r="AG19" s="134">
        <v>0</v>
      </c>
      <c r="AH19" s="297">
        <v>9</v>
      </c>
      <c r="AI19" s="298">
        <v>9</v>
      </c>
      <c r="AJ19" s="298">
        <v>9</v>
      </c>
      <c r="AK19" s="298">
        <v>27</v>
      </c>
      <c r="AL19" s="298">
        <v>0</v>
      </c>
      <c r="AM19" s="298">
        <v>9</v>
      </c>
      <c r="AN19" s="298">
        <v>9</v>
      </c>
      <c r="AO19" s="298">
        <v>9</v>
      </c>
      <c r="AP19" s="298">
        <v>27</v>
      </c>
      <c r="AQ19" s="298">
        <v>0</v>
      </c>
      <c r="AR19" s="299">
        <v>108</v>
      </c>
      <c r="AS19" s="300">
        <v>0</v>
      </c>
    </row>
    <row r="20" spans="1:45" x14ac:dyDescent="0.25">
      <c r="A20" s="24"/>
      <c r="B20" s="135"/>
      <c r="C20" s="136" t="s">
        <v>35</v>
      </c>
      <c r="D20" s="136">
        <v>10</v>
      </c>
      <c r="E20" s="137">
        <v>0.2</v>
      </c>
      <c r="F20" s="138" t="e">
        <f ca="1">#REF!*$E$20*$F$20</f>
        <v>#REF!</v>
      </c>
      <c r="G20" s="139" t="e">
        <f ca="1">#REF!*$E$20*$F$20</f>
        <v>#REF!</v>
      </c>
      <c r="H20" s="139" t="e">
        <f ca="1">#REF!*$E$20*$F$20</f>
        <v>#REF!</v>
      </c>
      <c r="I20" s="139" t="e">
        <f t="shared" ca="1" si="0"/>
        <v>#REF!</v>
      </c>
      <c r="J20" s="139" t="e">
        <f ca="1">#REF!*$E$20*$F$20</f>
        <v>#REF!</v>
      </c>
      <c r="K20" s="139" t="e">
        <f ca="1">#REF!*$E$20*$F$20</f>
        <v>#REF!</v>
      </c>
      <c r="L20" s="139" t="e">
        <f ca="1">#REF!*$E$20*$F$20</f>
        <v>#REF!</v>
      </c>
      <c r="M20" s="139" t="e">
        <f t="shared" ca="1" si="1"/>
        <v>#REF!</v>
      </c>
      <c r="N20" s="139" t="e">
        <f ca="1">#REF!*$E$20*$F$20</f>
        <v>#REF!</v>
      </c>
      <c r="O20" s="139" t="e">
        <f ca="1">#REF!*$E$20*$F$20</f>
        <v>#REF!</v>
      </c>
      <c r="P20" s="139" t="e">
        <f ca="1">#REF!*$E$20*$F$20</f>
        <v>#REF!</v>
      </c>
      <c r="Q20" s="139" t="e">
        <f t="shared" ca="1" si="2"/>
        <v>#REF!</v>
      </c>
      <c r="R20" s="139" t="e">
        <f ca="1">#REF!*$E$20*$F$20</f>
        <v>#REF!</v>
      </c>
      <c r="S20" s="139" t="e">
        <f ca="1">#REF!*$E$20*$F$20</f>
        <v>#REF!</v>
      </c>
      <c r="T20" s="139" t="e">
        <f ca="1">#REF!*$E$20*$F$20</f>
        <v>#REF!</v>
      </c>
      <c r="U20" s="139" t="e">
        <f t="shared" ca="1" si="3"/>
        <v>#REF!</v>
      </c>
      <c r="V20" s="140" t="e">
        <f t="shared" ca="1" si="4"/>
        <v>#REF!</v>
      </c>
      <c r="W20" s="141" t="e">
        <f ca="1">#REF!*$E$20*$F$20</f>
        <v>#REF!</v>
      </c>
      <c r="X20" s="142">
        <v>2</v>
      </c>
      <c r="Y20" s="139">
        <v>2</v>
      </c>
      <c r="Z20" s="139">
        <v>2</v>
      </c>
      <c r="AA20" s="143">
        <v>6</v>
      </c>
      <c r="AB20" s="143" t="e">
        <v>#REF!</v>
      </c>
      <c r="AC20" s="143">
        <v>2</v>
      </c>
      <c r="AD20" s="143">
        <v>2</v>
      </c>
      <c r="AE20" s="143">
        <v>2</v>
      </c>
      <c r="AF20" s="143">
        <v>6</v>
      </c>
      <c r="AG20" s="144">
        <v>0</v>
      </c>
      <c r="AH20" s="301">
        <v>2</v>
      </c>
      <c r="AI20" s="302">
        <v>2</v>
      </c>
      <c r="AJ20" s="302">
        <v>2</v>
      </c>
      <c r="AK20" s="302">
        <v>6</v>
      </c>
      <c r="AL20" s="302">
        <v>0</v>
      </c>
      <c r="AM20" s="302">
        <v>2</v>
      </c>
      <c r="AN20" s="302">
        <v>2</v>
      </c>
      <c r="AO20" s="302">
        <v>2</v>
      </c>
      <c r="AP20" s="302">
        <v>6</v>
      </c>
      <c r="AQ20" s="302">
        <v>0</v>
      </c>
      <c r="AR20" s="303">
        <v>24</v>
      </c>
      <c r="AS20" s="304">
        <v>0</v>
      </c>
    </row>
    <row r="21" spans="1:45" x14ac:dyDescent="0.25">
      <c r="A21" s="24"/>
      <c r="B21" s="145"/>
      <c r="C21" s="146" t="s">
        <v>45</v>
      </c>
      <c r="D21" s="146">
        <v>10</v>
      </c>
      <c r="E21" s="147">
        <v>0.5</v>
      </c>
      <c r="F21" s="148" t="e">
        <f ca="1">#REF!*$E$21*$F$21</f>
        <v>#REF!</v>
      </c>
      <c r="G21" s="149" t="e">
        <f ca="1">#REF!*$E$21*$F$21</f>
        <v>#REF!</v>
      </c>
      <c r="H21" s="149" t="e">
        <f ca="1">#REF!*$E$21*$F$21</f>
        <v>#REF!</v>
      </c>
      <c r="I21" s="149" t="e">
        <f t="shared" ca="1" si="0"/>
        <v>#REF!</v>
      </c>
      <c r="J21" s="149" t="e">
        <f ca="1">#REF!*$E$21*$F$21</f>
        <v>#REF!</v>
      </c>
      <c r="K21" s="149" t="e">
        <f ca="1">#REF!*$E$21*$F$21</f>
        <v>#REF!</v>
      </c>
      <c r="L21" s="149" t="e">
        <f ca="1">#REF!*$E$21*$F$21</f>
        <v>#REF!</v>
      </c>
      <c r="M21" s="149" t="e">
        <f t="shared" ca="1" si="1"/>
        <v>#REF!</v>
      </c>
      <c r="N21" s="149" t="e">
        <f ca="1">#REF!*$E$21*$F$21</f>
        <v>#REF!</v>
      </c>
      <c r="O21" s="149" t="e">
        <f ca="1">#REF!*$E$21*$F$21</f>
        <v>#REF!</v>
      </c>
      <c r="P21" s="149" t="e">
        <f ca="1">#REF!*$E$21*$F$21</f>
        <v>#REF!</v>
      </c>
      <c r="Q21" s="149" t="e">
        <f t="shared" ca="1" si="2"/>
        <v>#REF!</v>
      </c>
      <c r="R21" s="149" t="e">
        <f ca="1">#REF!*$E$21*$F$21</f>
        <v>#REF!</v>
      </c>
      <c r="S21" s="149" t="e">
        <f ca="1">#REF!*$E$21*$F$21</f>
        <v>#REF!</v>
      </c>
      <c r="T21" s="149" t="e">
        <f ca="1">#REF!*$E$21*$F$21</f>
        <v>#REF!</v>
      </c>
      <c r="U21" s="149" t="e">
        <f t="shared" ca="1" si="3"/>
        <v>#REF!</v>
      </c>
      <c r="V21" s="150" t="e">
        <f t="shared" ca="1" si="4"/>
        <v>#REF!</v>
      </c>
      <c r="W21" s="151" t="e">
        <f ca="1">#REF!*$E$21*$F$21</f>
        <v>#REF!</v>
      </c>
      <c r="X21" s="152">
        <v>5</v>
      </c>
      <c r="Y21" s="149">
        <v>5</v>
      </c>
      <c r="Z21" s="149">
        <v>5</v>
      </c>
      <c r="AA21" s="153">
        <v>15</v>
      </c>
      <c r="AB21" s="153" t="e">
        <v>#REF!</v>
      </c>
      <c r="AC21" s="153">
        <v>5</v>
      </c>
      <c r="AD21" s="153">
        <v>5</v>
      </c>
      <c r="AE21" s="153">
        <v>5</v>
      </c>
      <c r="AF21" s="153">
        <v>15</v>
      </c>
      <c r="AG21" s="154">
        <v>0</v>
      </c>
      <c r="AH21" s="305">
        <v>5</v>
      </c>
      <c r="AI21" s="306">
        <v>5</v>
      </c>
      <c r="AJ21" s="306">
        <v>5</v>
      </c>
      <c r="AK21" s="306">
        <v>15</v>
      </c>
      <c r="AL21" s="306">
        <v>0</v>
      </c>
      <c r="AM21" s="306">
        <v>5</v>
      </c>
      <c r="AN21" s="306">
        <v>5</v>
      </c>
      <c r="AO21" s="306">
        <v>5</v>
      </c>
      <c r="AP21" s="306">
        <v>15</v>
      </c>
      <c r="AQ21" s="306">
        <v>0</v>
      </c>
      <c r="AR21" s="307">
        <v>60</v>
      </c>
      <c r="AS21" s="308">
        <v>0</v>
      </c>
    </row>
    <row r="22" spans="1:45" x14ac:dyDescent="0.25">
      <c r="A22" s="24"/>
      <c r="B22" s="81" t="s">
        <v>46</v>
      </c>
      <c r="C22" s="83" t="s">
        <v>33</v>
      </c>
      <c r="D22" s="83">
        <v>10</v>
      </c>
      <c r="E22" s="84">
        <v>0.9</v>
      </c>
      <c r="F22" s="85"/>
      <c r="G22" s="86"/>
      <c r="H22" s="86"/>
      <c r="I22" s="86">
        <f t="shared" si="0"/>
        <v>0</v>
      </c>
      <c r="J22" s="86"/>
      <c r="K22" s="86"/>
      <c r="L22" s="86"/>
      <c r="M22" s="86">
        <f t="shared" si="1"/>
        <v>0</v>
      </c>
      <c r="N22" s="86"/>
      <c r="O22" s="86"/>
      <c r="P22" s="86"/>
      <c r="Q22" s="86">
        <f t="shared" si="2"/>
        <v>0</v>
      </c>
      <c r="R22" s="86"/>
      <c r="S22" s="86"/>
      <c r="T22" s="86"/>
      <c r="U22" s="86">
        <f t="shared" si="3"/>
        <v>0</v>
      </c>
      <c r="V22" s="87">
        <f t="shared" si="4"/>
        <v>0</v>
      </c>
      <c r="W22" s="88"/>
      <c r="X22" s="89"/>
      <c r="Y22" s="86"/>
      <c r="Z22" s="86"/>
      <c r="AA22" s="90">
        <v>0</v>
      </c>
      <c r="AB22" s="90" t="e">
        <v>#REF!</v>
      </c>
      <c r="AC22" s="90">
        <v>10</v>
      </c>
      <c r="AD22" s="90">
        <v>10</v>
      </c>
      <c r="AE22" s="90">
        <v>10</v>
      </c>
      <c r="AF22" s="90">
        <v>30</v>
      </c>
      <c r="AG22" s="91">
        <v>0</v>
      </c>
      <c r="AH22" s="289">
        <v>10</v>
      </c>
      <c r="AI22" s="289">
        <v>10</v>
      </c>
      <c r="AJ22" s="275">
        <v>9</v>
      </c>
      <c r="AK22" s="275">
        <v>29</v>
      </c>
      <c r="AL22" s="286">
        <v>0</v>
      </c>
      <c r="AM22" s="275">
        <v>9</v>
      </c>
      <c r="AN22" s="275">
        <v>9</v>
      </c>
      <c r="AO22" s="275">
        <v>9</v>
      </c>
      <c r="AP22" s="275">
        <v>27</v>
      </c>
      <c r="AQ22" s="275">
        <v>0</v>
      </c>
      <c r="AR22" s="276">
        <v>86</v>
      </c>
      <c r="AS22" s="290">
        <v>0</v>
      </c>
    </row>
    <row r="23" spans="1:45" x14ac:dyDescent="0.25">
      <c r="A23" s="24"/>
      <c r="B23" s="103"/>
      <c r="C23" s="104" t="s">
        <v>41</v>
      </c>
      <c r="D23" s="104">
        <v>10</v>
      </c>
      <c r="E23" s="105">
        <v>1</v>
      </c>
      <c r="F23" s="106"/>
      <c r="G23" s="107"/>
      <c r="H23" s="107"/>
      <c r="I23" s="107">
        <f t="shared" si="0"/>
        <v>0</v>
      </c>
      <c r="J23" s="107"/>
      <c r="K23" s="107"/>
      <c r="L23" s="107"/>
      <c r="M23" s="107">
        <f t="shared" si="1"/>
        <v>0</v>
      </c>
      <c r="N23" s="107"/>
      <c r="O23" s="107"/>
      <c r="P23" s="107"/>
      <c r="Q23" s="107">
        <f t="shared" si="2"/>
        <v>0</v>
      </c>
      <c r="R23" s="107"/>
      <c r="S23" s="107"/>
      <c r="T23" s="107"/>
      <c r="U23" s="107">
        <f t="shared" si="3"/>
        <v>0</v>
      </c>
      <c r="V23" s="108">
        <f t="shared" si="4"/>
        <v>0</v>
      </c>
      <c r="W23" s="109"/>
      <c r="X23" s="110"/>
      <c r="Y23" s="107"/>
      <c r="Z23" s="107"/>
      <c r="AA23" s="111">
        <v>0</v>
      </c>
      <c r="AB23" s="111" t="e">
        <v>#REF!</v>
      </c>
      <c r="AC23" s="111">
        <v>10</v>
      </c>
      <c r="AD23" s="111">
        <v>10</v>
      </c>
      <c r="AE23" s="111">
        <v>10</v>
      </c>
      <c r="AF23" s="111">
        <v>30</v>
      </c>
      <c r="AG23" s="112">
        <v>0</v>
      </c>
      <c r="AH23" s="291">
        <v>10</v>
      </c>
      <c r="AI23" s="291">
        <v>10</v>
      </c>
      <c r="AJ23" s="283">
        <v>10</v>
      </c>
      <c r="AK23" s="283">
        <v>30</v>
      </c>
      <c r="AL23" s="288">
        <v>0</v>
      </c>
      <c r="AM23" s="283">
        <v>10</v>
      </c>
      <c r="AN23" s="283">
        <v>10</v>
      </c>
      <c r="AO23" s="283">
        <v>10</v>
      </c>
      <c r="AP23" s="283">
        <v>30</v>
      </c>
      <c r="AQ23" s="283">
        <v>0</v>
      </c>
      <c r="AR23" s="284">
        <v>90</v>
      </c>
      <c r="AS23" s="292">
        <v>0</v>
      </c>
    </row>
    <row r="24" spans="1:45" x14ac:dyDescent="0.25">
      <c r="A24" s="24"/>
      <c r="B24" s="81" t="s">
        <v>47</v>
      </c>
      <c r="C24" s="83" t="s">
        <v>33</v>
      </c>
      <c r="D24" s="83">
        <v>10</v>
      </c>
      <c r="E24" s="84" t="s">
        <v>48</v>
      </c>
      <c r="F24" s="85"/>
      <c r="G24" s="86"/>
      <c r="H24" s="86"/>
      <c r="I24" s="86">
        <f t="shared" si="0"/>
        <v>0</v>
      </c>
      <c r="J24" s="86"/>
      <c r="K24" s="86"/>
      <c r="L24" s="86"/>
      <c r="M24" s="86">
        <f t="shared" si="1"/>
        <v>0</v>
      </c>
      <c r="N24" s="86"/>
      <c r="O24" s="86"/>
      <c r="P24" s="86"/>
      <c r="Q24" s="86">
        <f t="shared" si="2"/>
        <v>0</v>
      </c>
      <c r="R24" s="86"/>
      <c r="S24" s="86"/>
      <c r="T24" s="86"/>
      <c r="U24" s="86">
        <f t="shared" si="3"/>
        <v>0</v>
      </c>
      <c r="V24" s="87">
        <f t="shared" si="4"/>
        <v>0</v>
      </c>
      <c r="W24" s="88"/>
      <c r="X24" s="89"/>
      <c r="Y24" s="86"/>
      <c r="Z24" s="86"/>
      <c r="AA24" s="90">
        <v>0</v>
      </c>
      <c r="AB24" s="90" t="e">
        <v>#REF!</v>
      </c>
      <c r="AC24" s="90">
        <v>10</v>
      </c>
      <c r="AD24" s="90">
        <v>10</v>
      </c>
      <c r="AE24" s="90">
        <v>10</v>
      </c>
      <c r="AF24" s="90">
        <v>30</v>
      </c>
      <c r="AG24" s="91">
        <v>0</v>
      </c>
      <c r="AH24" s="274">
        <v>10</v>
      </c>
      <c r="AI24" s="275">
        <v>10</v>
      </c>
      <c r="AJ24" s="275">
        <v>10</v>
      </c>
      <c r="AK24" s="275">
        <v>30</v>
      </c>
      <c r="AL24" s="275">
        <v>0</v>
      </c>
      <c r="AM24" s="275">
        <v>10</v>
      </c>
      <c r="AN24" s="275">
        <v>10</v>
      </c>
      <c r="AO24" s="275">
        <v>10</v>
      </c>
      <c r="AP24" s="275">
        <v>30</v>
      </c>
      <c r="AQ24" s="275">
        <v>0</v>
      </c>
      <c r="AR24" s="276">
        <v>90</v>
      </c>
      <c r="AS24" s="277">
        <v>0</v>
      </c>
    </row>
    <row r="25" spans="1:45" x14ac:dyDescent="0.25">
      <c r="A25" s="24"/>
      <c r="B25" s="92"/>
      <c r="C25" s="94" t="s">
        <v>29</v>
      </c>
      <c r="D25" s="94">
        <v>10</v>
      </c>
      <c r="E25" s="95" t="s">
        <v>48</v>
      </c>
      <c r="F25" s="96"/>
      <c r="G25" s="97"/>
      <c r="H25" s="97"/>
      <c r="I25" s="97">
        <f t="shared" si="0"/>
        <v>0</v>
      </c>
      <c r="J25" s="97"/>
      <c r="K25" s="97"/>
      <c r="L25" s="97"/>
      <c r="M25" s="97">
        <f t="shared" si="1"/>
        <v>0</v>
      </c>
      <c r="N25" s="97"/>
      <c r="O25" s="97"/>
      <c r="P25" s="97"/>
      <c r="Q25" s="97">
        <f t="shared" si="2"/>
        <v>0</v>
      </c>
      <c r="R25" s="97"/>
      <c r="S25" s="97"/>
      <c r="T25" s="97"/>
      <c r="U25" s="97">
        <f t="shared" si="3"/>
        <v>0</v>
      </c>
      <c r="V25" s="98">
        <f t="shared" si="4"/>
        <v>0</v>
      </c>
      <c r="W25" s="99"/>
      <c r="X25" s="100"/>
      <c r="Y25" s="97"/>
      <c r="Z25" s="97"/>
      <c r="AA25" s="101">
        <v>0</v>
      </c>
      <c r="AB25" s="101" t="e">
        <v>#REF!</v>
      </c>
      <c r="AC25" s="101">
        <v>10</v>
      </c>
      <c r="AD25" s="101">
        <v>10</v>
      </c>
      <c r="AE25" s="101">
        <v>10</v>
      </c>
      <c r="AF25" s="101">
        <v>30</v>
      </c>
      <c r="AG25" s="102">
        <v>0</v>
      </c>
      <c r="AH25" s="278">
        <v>10</v>
      </c>
      <c r="AI25" s="279">
        <v>10</v>
      </c>
      <c r="AJ25" s="279">
        <v>10</v>
      </c>
      <c r="AK25" s="279">
        <v>30</v>
      </c>
      <c r="AL25" s="279">
        <v>0</v>
      </c>
      <c r="AM25" s="279">
        <v>10</v>
      </c>
      <c r="AN25" s="279">
        <v>10</v>
      </c>
      <c r="AO25" s="279">
        <v>10</v>
      </c>
      <c r="AP25" s="279">
        <v>30</v>
      </c>
      <c r="AQ25" s="279">
        <v>0</v>
      </c>
      <c r="AR25" s="280">
        <v>90</v>
      </c>
      <c r="AS25" s="281">
        <v>0</v>
      </c>
    </row>
    <row r="26" spans="1:45" x14ac:dyDescent="0.25">
      <c r="A26" s="24"/>
      <c r="B26" s="92"/>
      <c r="C26" s="94" t="s">
        <v>41</v>
      </c>
      <c r="D26" s="94">
        <v>10</v>
      </c>
      <c r="E26" s="95" t="s">
        <v>48</v>
      </c>
      <c r="F26" s="96"/>
      <c r="G26" s="97"/>
      <c r="H26" s="97"/>
      <c r="I26" s="97">
        <f t="shared" si="0"/>
        <v>0</v>
      </c>
      <c r="J26" s="97"/>
      <c r="K26" s="97"/>
      <c r="L26" s="97"/>
      <c r="M26" s="97">
        <f t="shared" si="1"/>
        <v>0</v>
      </c>
      <c r="N26" s="97"/>
      <c r="O26" s="97"/>
      <c r="P26" s="97"/>
      <c r="Q26" s="97">
        <f t="shared" si="2"/>
        <v>0</v>
      </c>
      <c r="R26" s="97"/>
      <c r="S26" s="97"/>
      <c r="T26" s="97"/>
      <c r="U26" s="97">
        <f t="shared" si="3"/>
        <v>0</v>
      </c>
      <c r="V26" s="98">
        <f t="shared" si="4"/>
        <v>0</v>
      </c>
      <c r="W26" s="99"/>
      <c r="X26" s="100"/>
      <c r="Y26" s="97"/>
      <c r="Z26" s="97"/>
      <c r="AA26" s="101">
        <v>0</v>
      </c>
      <c r="AB26" s="101" t="e">
        <v>#REF!</v>
      </c>
      <c r="AC26" s="101">
        <v>10</v>
      </c>
      <c r="AD26" s="101">
        <v>10</v>
      </c>
      <c r="AE26" s="101">
        <v>10</v>
      </c>
      <c r="AF26" s="101">
        <v>30</v>
      </c>
      <c r="AG26" s="102">
        <v>0</v>
      </c>
      <c r="AH26" s="278">
        <v>10</v>
      </c>
      <c r="AI26" s="279">
        <v>10</v>
      </c>
      <c r="AJ26" s="279">
        <v>10</v>
      </c>
      <c r="AK26" s="279">
        <v>30</v>
      </c>
      <c r="AL26" s="279">
        <v>0</v>
      </c>
      <c r="AM26" s="279">
        <v>10</v>
      </c>
      <c r="AN26" s="279">
        <v>10</v>
      </c>
      <c r="AO26" s="279">
        <v>10</v>
      </c>
      <c r="AP26" s="279">
        <v>30</v>
      </c>
      <c r="AQ26" s="279">
        <v>0</v>
      </c>
      <c r="AR26" s="280">
        <v>90</v>
      </c>
      <c r="AS26" s="281">
        <v>0</v>
      </c>
    </row>
    <row r="27" spans="1:45" x14ac:dyDescent="0.25">
      <c r="A27" s="24"/>
      <c r="B27" s="103"/>
      <c r="C27" s="104" t="s">
        <v>49</v>
      </c>
      <c r="D27" s="104">
        <v>10</v>
      </c>
      <c r="E27" s="105" t="s">
        <v>48</v>
      </c>
      <c r="F27" s="106"/>
      <c r="G27" s="107"/>
      <c r="H27" s="107"/>
      <c r="I27" s="107">
        <f t="shared" si="0"/>
        <v>0</v>
      </c>
      <c r="J27" s="107"/>
      <c r="K27" s="107"/>
      <c r="L27" s="107"/>
      <c r="M27" s="107">
        <f t="shared" si="1"/>
        <v>0</v>
      </c>
      <c r="N27" s="107"/>
      <c r="O27" s="107"/>
      <c r="P27" s="107"/>
      <c r="Q27" s="107">
        <f t="shared" si="2"/>
        <v>0</v>
      </c>
      <c r="R27" s="107"/>
      <c r="S27" s="107"/>
      <c r="T27" s="107"/>
      <c r="U27" s="107">
        <f t="shared" si="3"/>
        <v>0</v>
      </c>
      <c r="V27" s="108">
        <f t="shared" si="4"/>
        <v>0</v>
      </c>
      <c r="W27" s="109"/>
      <c r="X27" s="110"/>
      <c r="Y27" s="107"/>
      <c r="Z27" s="107"/>
      <c r="AA27" s="111">
        <v>0</v>
      </c>
      <c r="AB27" s="111" t="e">
        <v>#REF!</v>
      </c>
      <c r="AC27" s="111">
        <v>10</v>
      </c>
      <c r="AD27" s="111">
        <v>10</v>
      </c>
      <c r="AE27" s="111">
        <v>10</v>
      </c>
      <c r="AF27" s="111">
        <v>30</v>
      </c>
      <c r="AG27" s="112">
        <v>0</v>
      </c>
      <c r="AH27" s="282">
        <v>10</v>
      </c>
      <c r="AI27" s="283">
        <v>10</v>
      </c>
      <c r="AJ27" s="283">
        <v>10</v>
      </c>
      <c r="AK27" s="283">
        <v>30</v>
      </c>
      <c r="AL27" s="283">
        <v>0</v>
      </c>
      <c r="AM27" s="283">
        <v>10</v>
      </c>
      <c r="AN27" s="283">
        <v>10</v>
      </c>
      <c r="AO27" s="283">
        <v>10</v>
      </c>
      <c r="AP27" s="283">
        <v>30</v>
      </c>
      <c r="AQ27" s="283">
        <v>0</v>
      </c>
      <c r="AR27" s="284">
        <v>90</v>
      </c>
      <c r="AS27" s="285">
        <v>0</v>
      </c>
    </row>
    <row r="28" spans="1:45" x14ac:dyDescent="0.25">
      <c r="A28" s="24"/>
      <c r="B28" s="155" t="s">
        <v>22</v>
      </c>
      <c r="C28" s="156" t="s">
        <v>50</v>
      </c>
      <c r="D28" s="156"/>
      <c r="E28" s="157"/>
      <c r="F28" s="158" t="e">
        <f ca="1">SUM(F6,F7,F8,F9,F12,F16,F19,F22,F24,F25)</f>
        <v>#REF!</v>
      </c>
      <c r="G28" s="159" t="e">
        <f ca="1">SUM(G6,G7,G8,G9,G12,G16,G19,G22,G24,G25)</f>
        <v>#REF!</v>
      </c>
      <c r="H28" s="159" t="e">
        <f ca="1">SUM(H6,H7,H8,H9,H12,H16,H19,H22,H24,H25)</f>
        <v>#REF!</v>
      </c>
      <c r="I28" s="87" t="e">
        <f ca="1">SUM(F28:H28)</f>
        <v>#REF!</v>
      </c>
      <c r="J28" s="159" t="e">
        <f ca="1">SUM(J6,J7,J8,J9,J12,J16,J19,J22,J24,J25)</f>
        <v>#REF!</v>
      </c>
      <c r="K28" s="159" t="e">
        <f ca="1">SUM(K6,K7,K8,K9,K12,K16,K19,K22,K24,K25)</f>
        <v>#REF!</v>
      </c>
      <c r="L28" s="159" t="e">
        <f ca="1">SUM(L6,L7,L8,L9,L12,L16,L19,L22,L24,L25)</f>
        <v>#REF!</v>
      </c>
      <c r="M28" s="87" t="e">
        <f ca="1">SUM(J28:L28)</f>
        <v>#REF!</v>
      </c>
      <c r="N28" s="159" t="e">
        <f ca="1">SUM(N6,N7,N8,N9,N12,N16,N19,N22,N24,N25)</f>
        <v>#REF!</v>
      </c>
      <c r="O28" s="159" t="e">
        <f ca="1">SUM(O6,O7,O8,O9,O12,O16,O19,O22,O24,O25)</f>
        <v>#REF!</v>
      </c>
      <c r="P28" s="159" t="e">
        <f ca="1">SUM(P6,P7,P8,P9,P12,P16,P19,P22,P24,P25)</f>
        <v>#REF!</v>
      </c>
      <c r="Q28" s="87" t="e">
        <f ca="1">SUM(N28:P28)</f>
        <v>#REF!</v>
      </c>
      <c r="R28" s="159" t="e">
        <f ca="1">SUM(R6,R7,R8,R9,R12,R16,R19,R22,R24,R25)</f>
        <v>#REF!</v>
      </c>
      <c r="S28" s="159" t="e">
        <f ca="1">SUM(S6,S7,S8,S9,S12,S16,S19,S22,S24,S25)</f>
        <v>#REF!</v>
      </c>
      <c r="T28" s="159" t="e">
        <f ca="1">SUM(T6,T7,T8,T9,T12,T16,T19,T22,T24,T25)</f>
        <v>#REF!</v>
      </c>
      <c r="U28" s="87" t="e">
        <f ca="1">SUM(R28:T28)</f>
        <v>#REF!</v>
      </c>
      <c r="V28" s="87" t="e">
        <f t="shared" ca="1" si="4"/>
        <v>#REF!</v>
      </c>
      <c r="W28" s="160" t="e">
        <f>SUM(W6,W7,W8,W9,W12,W16,W19,W22,W24,W25)</f>
        <v>#REF!</v>
      </c>
      <c r="X28" s="161">
        <v>75</v>
      </c>
      <c r="Y28" s="159">
        <v>75</v>
      </c>
      <c r="Z28" s="159">
        <v>75</v>
      </c>
      <c r="AA28" s="162">
        <v>225</v>
      </c>
      <c r="AB28" s="162" t="e">
        <v>#REF!</v>
      </c>
      <c r="AC28" s="162">
        <v>106</v>
      </c>
      <c r="AD28" s="162">
        <v>106</v>
      </c>
      <c r="AE28" s="162">
        <v>106</v>
      </c>
      <c r="AF28" s="162">
        <v>318</v>
      </c>
      <c r="AG28" s="163">
        <v>0</v>
      </c>
      <c r="AH28" s="309">
        <v>106</v>
      </c>
      <c r="AI28" s="310">
        <v>106</v>
      </c>
      <c r="AJ28" s="310">
        <v>104</v>
      </c>
      <c r="AK28" s="310">
        <v>316</v>
      </c>
      <c r="AL28" s="311">
        <v>0</v>
      </c>
      <c r="AM28" s="310">
        <v>104</v>
      </c>
      <c r="AN28" s="310">
        <v>104</v>
      </c>
      <c r="AO28" s="310">
        <v>104</v>
      </c>
      <c r="AP28" s="310">
        <v>312</v>
      </c>
      <c r="AQ28" s="310">
        <v>0</v>
      </c>
      <c r="AR28" s="276">
        <v>1171</v>
      </c>
      <c r="AS28" s="277">
        <v>0</v>
      </c>
    </row>
    <row r="29" spans="1:45" x14ac:dyDescent="0.25">
      <c r="A29" s="24"/>
      <c r="B29" s="164"/>
      <c r="C29" s="165" t="s">
        <v>51</v>
      </c>
      <c r="D29" s="165"/>
      <c r="E29" s="166"/>
      <c r="F29" s="167" t="e">
        <f ca="1">SUM(F4,F5,F10,F11,F13,F14,F17,F20,F21,F23,F26,F27)</f>
        <v>#REF!</v>
      </c>
      <c r="G29" s="168" t="e">
        <f ca="1">SUM(G4,G5,G10,G11,G13,G14,G17,G20,G21,G23,G26,G27)</f>
        <v>#REF!</v>
      </c>
      <c r="H29" s="168" t="e">
        <f ca="1">SUM(H4,H5,H10,H11,H13,H14,H17,H20,H21,H23,H26,H27)</f>
        <v>#REF!</v>
      </c>
      <c r="I29" s="98" t="e">
        <f t="shared" ref="I29:I30" ca="1" si="7">SUM(F29:H29)</f>
        <v>#REF!</v>
      </c>
      <c r="J29" s="168" t="e">
        <f ca="1">SUM(J4,J5,J10,J11,J13,J14,J17,J20,J21,J23,J26,J27)</f>
        <v>#REF!</v>
      </c>
      <c r="K29" s="168" t="e">
        <f ca="1">SUM(K4,K5,K10,K11,K13,K14,K17,K20,K21,K23,K26,K27)</f>
        <v>#REF!</v>
      </c>
      <c r="L29" s="168" t="e">
        <f ca="1">SUM(L4,L5,L10,L11,L13,L14,L17,L20,L21,L23,L26,L27)</f>
        <v>#REF!</v>
      </c>
      <c r="M29" s="98" t="e">
        <f t="shared" ref="M29:M30" ca="1" si="8">SUM(J29:L29)</f>
        <v>#REF!</v>
      </c>
      <c r="N29" s="168" t="e">
        <f ca="1">SUM(N4,N5,N10,N11,N13,N14,N17,N20,N21,N23,N26,N27)</f>
        <v>#REF!</v>
      </c>
      <c r="O29" s="168" t="e">
        <f ca="1">SUM(O4,O5,O10,O11,O13,O14,O17,O20,O21,O23,O26,O27)</f>
        <v>#REF!</v>
      </c>
      <c r="P29" s="168" t="e">
        <f ca="1">SUM(P4,P5,P10,P11,P13,P14,P17,P20,P21,P23,P26,P27)</f>
        <v>#REF!</v>
      </c>
      <c r="Q29" s="98" t="e">
        <f t="shared" ref="Q29:Q30" ca="1" si="9">SUM(N29:P29)</f>
        <v>#REF!</v>
      </c>
      <c r="R29" s="168" t="e">
        <f ca="1">SUM(R4,R5,R10,R11,R13,R14,R17,R20,R21,R23,R26,R27)</f>
        <v>#REF!</v>
      </c>
      <c r="S29" s="168" t="e">
        <f ca="1">SUM(S4,S5,S10,S11,S13,S14,S17,S20,S21,S23,S26,S27)</f>
        <v>#REF!</v>
      </c>
      <c r="T29" s="168" t="e">
        <f ca="1">SUM(T4,T5,T10,T11,T13,T14,T17,T20,T21,T23,T26,T27)</f>
        <v>#REF!</v>
      </c>
      <c r="U29" s="98" t="e">
        <f t="shared" ref="U29:U30" ca="1" si="10">SUM(R29:T29)</f>
        <v>#REF!</v>
      </c>
      <c r="V29" s="98" t="e">
        <f t="shared" ca="1" si="4"/>
        <v>#REF!</v>
      </c>
      <c r="W29" s="169" t="e">
        <f>SUM(W4,W5,W10,W11,W13,W14,W17,W20,W21,W23,W26,W27)</f>
        <v>#REF!</v>
      </c>
      <c r="X29" s="170">
        <v>65</v>
      </c>
      <c r="Y29" s="168">
        <v>65</v>
      </c>
      <c r="Z29" s="168">
        <v>75</v>
      </c>
      <c r="AA29" s="171">
        <v>205</v>
      </c>
      <c r="AB29" s="171" t="e">
        <v>#REF!</v>
      </c>
      <c r="AC29" s="171">
        <v>98</v>
      </c>
      <c r="AD29" s="171">
        <v>135</v>
      </c>
      <c r="AE29" s="171">
        <v>195</v>
      </c>
      <c r="AF29" s="171">
        <v>428</v>
      </c>
      <c r="AG29" s="172">
        <v>30</v>
      </c>
      <c r="AH29" s="312">
        <v>155</v>
      </c>
      <c r="AI29" s="313">
        <v>205</v>
      </c>
      <c r="AJ29" s="313">
        <v>105</v>
      </c>
      <c r="AK29" s="313">
        <v>465</v>
      </c>
      <c r="AL29" s="313">
        <v>60</v>
      </c>
      <c r="AM29" s="313">
        <v>105</v>
      </c>
      <c r="AN29" s="313">
        <v>105</v>
      </c>
      <c r="AO29" s="313">
        <v>105</v>
      </c>
      <c r="AP29" s="313">
        <v>315</v>
      </c>
      <c r="AQ29" s="313">
        <v>60</v>
      </c>
      <c r="AR29" s="280">
        <v>1413</v>
      </c>
      <c r="AS29" s="281">
        <v>180</v>
      </c>
    </row>
    <row r="30" spans="1:45" ht="17.25" thickBot="1" x14ac:dyDescent="0.3">
      <c r="A30" s="24"/>
      <c r="B30" s="173"/>
      <c r="C30" s="174" t="s">
        <v>52</v>
      </c>
      <c r="D30" s="174"/>
      <c r="E30" s="175"/>
      <c r="F30" s="176" t="e">
        <f ca="1">F15</f>
        <v>#REF!</v>
      </c>
      <c r="G30" s="177" t="e">
        <f ca="1">G15</f>
        <v>#REF!</v>
      </c>
      <c r="H30" s="177" t="e">
        <f ca="1">H15</f>
        <v>#REF!</v>
      </c>
      <c r="I30" s="177" t="e">
        <f t="shared" ca="1" si="7"/>
        <v>#REF!</v>
      </c>
      <c r="J30" s="177" t="e">
        <f ca="1">J15</f>
        <v>#REF!</v>
      </c>
      <c r="K30" s="177" t="e">
        <f ca="1">K15</f>
        <v>#REF!</v>
      </c>
      <c r="L30" s="177" t="e">
        <f ca="1">L15</f>
        <v>#REF!</v>
      </c>
      <c r="M30" s="177" t="e">
        <f t="shared" ca="1" si="8"/>
        <v>#REF!</v>
      </c>
      <c r="N30" s="177" t="e">
        <f ca="1">N15</f>
        <v>#REF!</v>
      </c>
      <c r="O30" s="177" t="e">
        <f ca="1">O15</f>
        <v>#REF!</v>
      </c>
      <c r="P30" s="177" t="e">
        <f ca="1">P15</f>
        <v>#REF!</v>
      </c>
      <c r="Q30" s="177" t="e">
        <f t="shared" ca="1" si="9"/>
        <v>#REF!</v>
      </c>
      <c r="R30" s="177" t="e">
        <f ca="1">R15</f>
        <v>#REF!</v>
      </c>
      <c r="S30" s="177" t="e">
        <f ca="1">S15</f>
        <v>#REF!</v>
      </c>
      <c r="T30" s="177" t="e">
        <f ca="1">T15</f>
        <v>#REF!</v>
      </c>
      <c r="U30" s="177" t="e">
        <f t="shared" ca="1" si="10"/>
        <v>#REF!</v>
      </c>
      <c r="V30" s="40" t="e">
        <f t="shared" ca="1" si="4"/>
        <v>#REF!</v>
      </c>
      <c r="W30" s="178" t="e">
        <f ca="1">W15</f>
        <v>#REF!</v>
      </c>
      <c r="X30" s="179">
        <v>8</v>
      </c>
      <c r="Y30" s="177">
        <v>8</v>
      </c>
      <c r="Z30" s="177">
        <v>8</v>
      </c>
      <c r="AA30" s="180">
        <v>24</v>
      </c>
      <c r="AB30" s="180" t="e">
        <v>#REF!</v>
      </c>
      <c r="AC30" s="180">
        <v>8</v>
      </c>
      <c r="AD30" s="180">
        <v>8</v>
      </c>
      <c r="AE30" s="180">
        <v>8</v>
      </c>
      <c r="AF30" s="180">
        <v>24</v>
      </c>
      <c r="AG30" s="181">
        <v>0</v>
      </c>
      <c r="AH30" s="314">
        <v>16</v>
      </c>
      <c r="AI30" s="315">
        <v>16</v>
      </c>
      <c r="AJ30" s="315">
        <v>16</v>
      </c>
      <c r="AK30" s="315">
        <v>48</v>
      </c>
      <c r="AL30" s="315">
        <v>0</v>
      </c>
      <c r="AM30" s="315">
        <v>8</v>
      </c>
      <c r="AN30" s="315">
        <v>8</v>
      </c>
      <c r="AO30" s="315">
        <v>8</v>
      </c>
      <c r="AP30" s="315">
        <v>24</v>
      </c>
      <c r="AQ30" s="315">
        <v>0</v>
      </c>
      <c r="AR30" s="260">
        <v>120</v>
      </c>
      <c r="AS30" s="261">
        <v>0</v>
      </c>
    </row>
    <row r="31" spans="1:45" x14ac:dyDescent="0.25">
      <c r="A31" s="182" t="s">
        <v>53</v>
      </c>
      <c r="B31" s="183" t="s">
        <v>54</v>
      </c>
      <c r="C31" s="184" t="s">
        <v>37</v>
      </c>
      <c r="D31" s="184">
        <v>10</v>
      </c>
      <c r="E31" s="185">
        <v>0.95</v>
      </c>
      <c r="F31" s="186">
        <v>1858</v>
      </c>
      <c r="G31" s="187">
        <v>0</v>
      </c>
      <c r="H31" s="187">
        <v>2383.5</v>
      </c>
      <c r="I31" s="186">
        <f>SUM(F31:H31)</f>
        <v>4241.5</v>
      </c>
      <c r="J31" s="187" t="e">
        <f>#REF!*$E$31*$F$31</f>
        <v>#REF!</v>
      </c>
      <c r="K31" s="187" t="e">
        <f>#REF!*$E$31*$F$31</f>
        <v>#REF!</v>
      </c>
      <c r="L31" s="187" t="e">
        <f>#REF!*$E$31*$F$31</f>
        <v>#REF!</v>
      </c>
      <c r="M31" s="187" t="e">
        <f>SUM(J31:L31)</f>
        <v>#REF!</v>
      </c>
      <c r="N31" s="187" t="e">
        <f>#REF!*$E$31*$F$31</f>
        <v>#REF!</v>
      </c>
      <c r="O31" s="187" t="e">
        <f>#REF!*$E$31*$F$31</f>
        <v>#REF!</v>
      </c>
      <c r="P31" s="188" t="e">
        <f>#REF!*$E$31*$F$31</f>
        <v>#REF!</v>
      </c>
      <c r="Q31" s="187" t="e">
        <f>SUM(N31:P31)</f>
        <v>#REF!</v>
      </c>
      <c r="R31" s="186" t="e">
        <f>#REF!*$E$31*$F$31</f>
        <v>#REF!</v>
      </c>
      <c r="S31" s="187" t="e">
        <f>#REF!*$E$31*$F$31</f>
        <v>#REF!</v>
      </c>
      <c r="T31" s="187" t="e">
        <f>#REF!*$E$31*$F$31</f>
        <v>#REF!</v>
      </c>
      <c r="U31" s="187" t="e">
        <f>SUM(R31:T31)</f>
        <v>#REF!</v>
      </c>
      <c r="V31" s="189" t="e">
        <f t="shared" si="4"/>
        <v>#REF!</v>
      </c>
      <c r="W31" s="188"/>
      <c r="X31" s="190">
        <v>9.5</v>
      </c>
      <c r="Y31" s="187">
        <v>9.5</v>
      </c>
      <c r="Z31" s="187">
        <v>9.5</v>
      </c>
      <c r="AA31" s="191">
        <v>28.5</v>
      </c>
      <c r="AB31" s="191" t="e">
        <v>#REF!</v>
      </c>
      <c r="AC31" s="191">
        <v>9.5</v>
      </c>
      <c r="AD31" s="191">
        <v>9.5</v>
      </c>
      <c r="AE31" s="191">
        <v>9.5</v>
      </c>
      <c r="AF31" s="191">
        <v>28.5</v>
      </c>
      <c r="AG31" s="192">
        <v>0</v>
      </c>
      <c r="AH31" s="316">
        <v>9.5</v>
      </c>
      <c r="AI31" s="316">
        <v>9.5</v>
      </c>
      <c r="AJ31" s="317">
        <v>9.5</v>
      </c>
      <c r="AK31" s="317">
        <v>28.5</v>
      </c>
      <c r="AL31" s="318">
        <v>0</v>
      </c>
      <c r="AM31" s="317">
        <v>9.5</v>
      </c>
      <c r="AN31" s="317">
        <v>9.5</v>
      </c>
      <c r="AO31" s="317">
        <v>9.5</v>
      </c>
      <c r="AP31" s="317">
        <v>28.5</v>
      </c>
      <c r="AQ31" s="318">
        <v>0</v>
      </c>
      <c r="AR31" s="319">
        <v>114</v>
      </c>
      <c r="AS31" s="320">
        <v>0</v>
      </c>
    </row>
    <row r="32" spans="1:45" x14ac:dyDescent="0.25">
      <c r="A32" s="193"/>
      <c r="B32" s="92"/>
      <c r="C32" s="93" t="s">
        <v>38</v>
      </c>
      <c r="D32" s="94">
        <v>10</v>
      </c>
      <c r="E32" s="95">
        <v>0.5</v>
      </c>
      <c r="F32" s="96">
        <v>1415.6190476190477</v>
      </c>
      <c r="G32" s="97">
        <v>0</v>
      </c>
      <c r="H32" s="97">
        <v>1816</v>
      </c>
      <c r="I32" s="96">
        <f t="shared" ref="I32:I34" si="11">SUM(F32:H32)</f>
        <v>3231.6190476190477</v>
      </c>
      <c r="J32" s="97">
        <v>1600</v>
      </c>
      <c r="K32" s="97">
        <v>1600</v>
      </c>
      <c r="L32" s="97">
        <v>1360</v>
      </c>
      <c r="M32" s="97">
        <f t="shared" ref="M32:M34" si="12">SUM(J32:L32)</f>
        <v>4560</v>
      </c>
      <c r="N32" s="97">
        <v>1840</v>
      </c>
      <c r="O32" s="97">
        <v>2320</v>
      </c>
      <c r="P32" s="99">
        <v>1680</v>
      </c>
      <c r="Q32" s="97">
        <f t="shared" ref="Q32:Q34" si="13">SUM(N32:P32)</f>
        <v>5840</v>
      </c>
      <c r="R32" s="96">
        <v>3200</v>
      </c>
      <c r="S32" s="97">
        <v>3200</v>
      </c>
      <c r="T32" s="97">
        <v>3200</v>
      </c>
      <c r="U32" s="97">
        <f t="shared" ref="U32:U34" si="14">SUM(R32:T32)</f>
        <v>9600</v>
      </c>
      <c r="V32" s="194">
        <f t="shared" si="4"/>
        <v>23231.619047619046</v>
      </c>
      <c r="W32" s="99"/>
      <c r="X32" s="100">
        <v>5</v>
      </c>
      <c r="Y32" s="97">
        <v>5</v>
      </c>
      <c r="Z32" s="97">
        <v>5</v>
      </c>
      <c r="AA32" s="101">
        <v>15</v>
      </c>
      <c r="AB32" s="101" t="e">
        <v>#REF!</v>
      </c>
      <c r="AC32" s="101">
        <v>5</v>
      </c>
      <c r="AD32" s="101">
        <v>5</v>
      </c>
      <c r="AE32" s="101">
        <v>5</v>
      </c>
      <c r="AF32" s="101">
        <v>15</v>
      </c>
      <c r="AG32" s="102">
        <v>0</v>
      </c>
      <c r="AH32" s="278">
        <v>5</v>
      </c>
      <c r="AI32" s="278">
        <v>5</v>
      </c>
      <c r="AJ32" s="279">
        <v>5</v>
      </c>
      <c r="AK32" s="279">
        <v>15</v>
      </c>
      <c r="AL32" s="287">
        <v>0</v>
      </c>
      <c r="AM32" s="279">
        <v>5</v>
      </c>
      <c r="AN32" s="279">
        <v>5</v>
      </c>
      <c r="AO32" s="279">
        <v>5</v>
      </c>
      <c r="AP32" s="279">
        <v>15</v>
      </c>
      <c r="AQ32" s="287">
        <v>0</v>
      </c>
      <c r="AR32" s="321">
        <v>60</v>
      </c>
      <c r="AS32" s="322">
        <v>0</v>
      </c>
    </row>
    <row r="33" spans="1:45" x14ac:dyDescent="0.25">
      <c r="A33" s="193"/>
      <c r="B33" s="92"/>
      <c r="C33" s="94" t="s">
        <v>35</v>
      </c>
      <c r="D33" s="94">
        <v>10</v>
      </c>
      <c r="E33" s="113">
        <v>0.2</v>
      </c>
      <c r="F33" s="96">
        <v>300.81904761904764</v>
      </c>
      <c r="G33" s="97">
        <v>0</v>
      </c>
      <c r="H33" s="97">
        <v>385.9</v>
      </c>
      <c r="I33" s="96">
        <f t="shared" si="11"/>
        <v>686.71904761904761</v>
      </c>
      <c r="J33" s="97" t="e">
        <f>#REF!*$E$33*$F$33</f>
        <v>#REF!</v>
      </c>
      <c r="K33" s="97" t="e">
        <f>#REF!*$E$33*$F$33</f>
        <v>#REF!</v>
      </c>
      <c r="L33" s="97" t="e">
        <f>#REF!*$E$33*$F$33</f>
        <v>#REF!</v>
      </c>
      <c r="M33" s="97" t="e">
        <f t="shared" si="12"/>
        <v>#REF!</v>
      </c>
      <c r="N33" s="97" t="e">
        <f>#REF!*$E$33*$F$33</f>
        <v>#REF!</v>
      </c>
      <c r="O33" s="97" t="e">
        <f>#REF!*$E$33*$F$33</f>
        <v>#REF!</v>
      </c>
      <c r="P33" s="99" t="e">
        <f>#REF!*$E$33*$F$33</f>
        <v>#REF!</v>
      </c>
      <c r="Q33" s="97" t="e">
        <f t="shared" si="13"/>
        <v>#REF!</v>
      </c>
      <c r="R33" s="96" t="e">
        <f>#REF!*$E$33*$F$33</f>
        <v>#REF!</v>
      </c>
      <c r="S33" s="97" t="e">
        <f>#REF!*$E$33*$F$33</f>
        <v>#REF!</v>
      </c>
      <c r="T33" s="97" t="e">
        <f>#REF!*$E$33*$F$33</f>
        <v>#REF!</v>
      </c>
      <c r="U33" s="97" t="e">
        <f t="shared" si="14"/>
        <v>#REF!</v>
      </c>
      <c r="V33" s="194" t="e">
        <f t="shared" si="4"/>
        <v>#REF!</v>
      </c>
      <c r="W33" s="99"/>
      <c r="X33" s="100">
        <v>2</v>
      </c>
      <c r="Y33" s="97">
        <v>2</v>
      </c>
      <c r="Z33" s="97">
        <v>2</v>
      </c>
      <c r="AA33" s="101">
        <v>6</v>
      </c>
      <c r="AB33" s="101" t="e">
        <v>#REF!</v>
      </c>
      <c r="AC33" s="101">
        <v>2</v>
      </c>
      <c r="AD33" s="101">
        <v>2</v>
      </c>
      <c r="AE33" s="101">
        <v>2</v>
      </c>
      <c r="AF33" s="101">
        <v>6</v>
      </c>
      <c r="AG33" s="102">
        <v>0</v>
      </c>
      <c r="AH33" s="278">
        <v>2</v>
      </c>
      <c r="AI33" s="278">
        <v>2</v>
      </c>
      <c r="AJ33" s="279">
        <v>2</v>
      </c>
      <c r="AK33" s="279">
        <v>6</v>
      </c>
      <c r="AL33" s="287">
        <v>0</v>
      </c>
      <c r="AM33" s="279">
        <v>2</v>
      </c>
      <c r="AN33" s="279">
        <v>2</v>
      </c>
      <c r="AO33" s="279">
        <v>2</v>
      </c>
      <c r="AP33" s="279">
        <v>6</v>
      </c>
      <c r="AQ33" s="287">
        <v>0</v>
      </c>
      <c r="AR33" s="321">
        <v>24</v>
      </c>
      <c r="AS33" s="322">
        <v>0</v>
      </c>
    </row>
    <row r="34" spans="1:45" x14ac:dyDescent="0.25">
      <c r="A34" s="193"/>
      <c r="B34" s="103"/>
      <c r="C34" s="104" t="s">
        <v>39</v>
      </c>
      <c r="D34" s="104">
        <v>10</v>
      </c>
      <c r="E34" s="105">
        <v>0.8</v>
      </c>
      <c r="F34" s="106">
        <v>1185.5809523809526</v>
      </c>
      <c r="G34" s="107">
        <v>0</v>
      </c>
      <c r="H34" s="107">
        <v>1520.8999999999999</v>
      </c>
      <c r="I34" s="106">
        <f t="shared" si="11"/>
        <v>2706.4809523809527</v>
      </c>
      <c r="J34" s="107" t="e">
        <f>#REF!*$E$34*$F$34</f>
        <v>#REF!</v>
      </c>
      <c r="K34" s="107" t="e">
        <f>#REF!*$E$34*$F$34</f>
        <v>#REF!</v>
      </c>
      <c r="L34" s="107" t="e">
        <f>#REF!*$E$34*$F$34</f>
        <v>#REF!</v>
      </c>
      <c r="M34" s="107" t="e">
        <f t="shared" si="12"/>
        <v>#REF!</v>
      </c>
      <c r="N34" s="107" t="e">
        <f>#REF!*$E$34*$F$34</f>
        <v>#REF!</v>
      </c>
      <c r="O34" s="107" t="e">
        <f>#REF!*$E$34*$F$34</f>
        <v>#REF!</v>
      </c>
      <c r="P34" s="109" t="e">
        <f>#REF!*$E$34*$F$34</f>
        <v>#REF!</v>
      </c>
      <c r="Q34" s="107" t="e">
        <f t="shared" si="13"/>
        <v>#REF!</v>
      </c>
      <c r="R34" s="106" t="e">
        <f>#REF!*$E$34*$F$34</f>
        <v>#REF!</v>
      </c>
      <c r="S34" s="107" t="e">
        <f>#REF!*$E$34*$F$34</f>
        <v>#REF!</v>
      </c>
      <c r="T34" s="107" t="e">
        <f>#REF!*$E$34*$F$34</f>
        <v>#REF!</v>
      </c>
      <c r="U34" s="107" t="e">
        <f t="shared" si="14"/>
        <v>#REF!</v>
      </c>
      <c r="V34" s="195" t="e">
        <f t="shared" si="4"/>
        <v>#REF!</v>
      </c>
      <c r="W34" s="109"/>
      <c r="X34" s="110">
        <v>8</v>
      </c>
      <c r="Y34" s="107">
        <v>8</v>
      </c>
      <c r="Z34" s="107">
        <v>8</v>
      </c>
      <c r="AA34" s="111">
        <v>24</v>
      </c>
      <c r="AB34" s="111" t="e">
        <v>#REF!</v>
      </c>
      <c r="AC34" s="111">
        <v>8</v>
      </c>
      <c r="AD34" s="111">
        <v>8</v>
      </c>
      <c r="AE34" s="111">
        <v>8</v>
      </c>
      <c r="AF34" s="111">
        <v>24</v>
      </c>
      <c r="AG34" s="112">
        <v>0</v>
      </c>
      <c r="AH34" s="282">
        <v>8</v>
      </c>
      <c r="AI34" s="282">
        <v>8</v>
      </c>
      <c r="AJ34" s="283">
        <v>8</v>
      </c>
      <c r="AK34" s="283">
        <v>24</v>
      </c>
      <c r="AL34" s="288">
        <v>0</v>
      </c>
      <c r="AM34" s="283">
        <v>8</v>
      </c>
      <c r="AN34" s="283">
        <v>8</v>
      </c>
      <c r="AO34" s="283">
        <v>8</v>
      </c>
      <c r="AP34" s="283">
        <v>24</v>
      </c>
      <c r="AQ34" s="288">
        <v>0</v>
      </c>
      <c r="AR34" s="323">
        <v>96</v>
      </c>
      <c r="AS34" s="292">
        <v>0</v>
      </c>
    </row>
    <row r="35" spans="1:45" x14ac:dyDescent="0.25">
      <c r="A35" s="193"/>
      <c r="B35" s="196" t="s">
        <v>55</v>
      </c>
      <c r="C35" s="197" t="s">
        <v>43</v>
      </c>
      <c r="D35" s="197">
        <v>10</v>
      </c>
      <c r="E35" s="198">
        <v>6.6666666666666664E-4</v>
      </c>
      <c r="F35" s="199"/>
      <c r="G35" s="200"/>
      <c r="H35" s="200"/>
      <c r="I35" s="199"/>
      <c r="J35" s="200"/>
      <c r="K35" s="200"/>
      <c r="L35" s="200"/>
      <c r="M35" s="200"/>
      <c r="N35" s="200"/>
      <c r="O35" s="200"/>
      <c r="P35" s="201"/>
      <c r="Q35" s="200"/>
      <c r="R35" s="199"/>
      <c r="S35" s="200"/>
      <c r="T35" s="200"/>
      <c r="U35" s="200"/>
      <c r="V35" s="202"/>
      <c r="W35" s="201"/>
      <c r="X35" s="203"/>
      <c r="Y35" s="200"/>
      <c r="Z35" s="200"/>
      <c r="AA35" s="204"/>
      <c r="AB35" s="204" t="e">
        <v>#REF!</v>
      </c>
      <c r="AC35" s="204">
        <v>8</v>
      </c>
      <c r="AD35" s="204">
        <v>8</v>
      </c>
      <c r="AE35" s="204">
        <v>8</v>
      </c>
      <c r="AF35" s="204">
        <v>24</v>
      </c>
      <c r="AG35" s="205">
        <v>24</v>
      </c>
      <c r="AH35" s="324">
        <v>8</v>
      </c>
      <c r="AI35" s="324">
        <v>8</v>
      </c>
      <c r="AJ35" s="325">
        <v>8</v>
      </c>
      <c r="AK35" s="325">
        <v>24</v>
      </c>
      <c r="AL35" s="325">
        <v>23.98</v>
      </c>
      <c r="AM35" s="325">
        <v>10</v>
      </c>
      <c r="AN35" s="325">
        <v>10</v>
      </c>
      <c r="AO35" s="325">
        <v>10</v>
      </c>
      <c r="AP35" s="325">
        <v>30</v>
      </c>
      <c r="AQ35" s="325">
        <v>0</v>
      </c>
      <c r="AR35" s="326">
        <v>78</v>
      </c>
      <c r="AS35" s="327">
        <v>47.980000000000004</v>
      </c>
    </row>
    <row r="36" spans="1:45" x14ac:dyDescent="0.25">
      <c r="A36" s="193"/>
      <c r="B36" s="81" t="s">
        <v>56</v>
      </c>
      <c r="C36" s="83" t="s">
        <v>33</v>
      </c>
      <c r="D36" s="83">
        <v>10</v>
      </c>
      <c r="E36" s="84">
        <v>0.9</v>
      </c>
      <c r="F36" s="85"/>
      <c r="G36" s="86"/>
      <c r="H36" s="86"/>
      <c r="I36" s="85"/>
      <c r="J36" s="86"/>
      <c r="K36" s="86"/>
      <c r="L36" s="86"/>
      <c r="M36" s="86"/>
      <c r="N36" s="86"/>
      <c r="O36" s="86"/>
      <c r="P36" s="88"/>
      <c r="Q36" s="86"/>
      <c r="R36" s="85"/>
      <c r="S36" s="86"/>
      <c r="T36" s="86"/>
      <c r="U36" s="86"/>
      <c r="V36" s="206"/>
      <c r="W36" s="88"/>
      <c r="X36" s="89"/>
      <c r="Y36" s="86"/>
      <c r="Z36" s="86"/>
      <c r="AA36" s="90"/>
      <c r="AB36" s="90" t="e">
        <v>#REF!</v>
      </c>
      <c r="AC36" s="90">
        <v>9</v>
      </c>
      <c r="AD36" s="90">
        <v>9</v>
      </c>
      <c r="AE36" s="90">
        <v>9</v>
      </c>
      <c r="AF36" s="90">
        <v>27</v>
      </c>
      <c r="AG36" s="91">
        <v>27</v>
      </c>
      <c r="AH36" s="274">
        <v>9</v>
      </c>
      <c r="AI36" s="274">
        <v>9</v>
      </c>
      <c r="AJ36" s="275">
        <v>9</v>
      </c>
      <c r="AK36" s="275">
        <v>27</v>
      </c>
      <c r="AL36" s="275">
        <v>-205.20000000000002</v>
      </c>
      <c r="AM36" s="275">
        <v>9</v>
      </c>
      <c r="AN36" s="275">
        <v>9</v>
      </c>
      <c r="AO36" s="275">
        <v>9</v>
      </c>
      <c r="AP36" s="275">
        <v>27</v>
      </c>
      <c r="AQ36" s="275">
        <v>-414</v>
      </c>
      <c r="AR36" s="328">
        <v>81</v>
      </c>
      <c r="AS36" s="277">
        <v>-592.20000000000005</v>
      </c>
    </row>
    <row r="37" spans="1:45" x14ac:dyDescent="0.25">
      <c r="A37" s="193"/>
      <c r="B37" s="207"/>
      <c r="C37" s="94" t="s">
        <v>37</v>
      </c>
      <c r="D37" s="94">
        <v>10</v>
      </c>
      <c r="E37" s="95">
        <v>0.9</v>
      </c>
      <c r="F37" s="96"/>
      <c r="G37" s="97"/>
      <c r="H37" s="97"/>
      <c r="I37" s="96"/>
      <c r="J37" s="97"/>
      <c r="K37" s="97"/>
      <c r="L37" s="97"/>
      <c r="M37" s="97"/>
      <c r="N37" s="97"/>
      <c r="O37" s="97"/>
      <c r="P37" s="99"/>
      <c r="Q37" s="97"/>
      <c r="R37" s="96"/>
      <c r="S37" s="97"/>
      <c r="T37" s="97"/>
      <c r="U37" s="97"/>
      <c r="V37" s="194"/>
      <c r="W37" s="99"/>
      <c r="X37" s="100"/>
      <c r="Y37" s="97"/>
      <c r="Z37" s="97"/>
      <c r="AA37" s="101"/>
      <c r="AB37" s="101" t="e">
        <v>#REF!</v>
      </c>
      <c r="AC37" s="101"/>
      <c r="AD37" s="101"/>
      <c r="AE37" s="101">
        <v>9</v>
      </c>
      <c r="AF37" s="101"/>
      <c r="AG37" s="102">
        <v>0</v>
      </c>
      <c r="AH37" s="278">
        <v>9</v>
      </c>
      <c r="AI37" s="278">
        <v>9</v>
      </c>
      <c r="AJ37" s="279">
        <v>9</v>
      </c>
      <c r="AK37" s="279">
        <v>27</v>
      </c>
      <c r="AL37" s="279">
        <v>-205.20000000000002</v>
      </c>
      <c r="AM37" s="279">
        <v>9</v>
      </c>
      <c r="AN37" s="279">
        <v>9</v>
      </c>
      <c r="AO37" s="279">
        <v>9</v>
      </c>
      <c r="AP37" s="279">
        <v>27</v>
      </c>
      <c r="AQ37" s="279">
        <v>-414</v>
      </c>
      <c r="AR37" s="321">
        <v>54</v>
      </c>
      <c r="AS37" s="281">
        <v>-619.20000000000005</v>
      </c>
    </row>
    <row r="38" spans="1:45" x14ac:dyDescent="0.25">
      <c r="A38" s="193"/>
      <c r="B38" s="207"/>
      <c r="C38" s="94" t="s">
        <v>57</v>
      </c>
      <c r="D38" s="94">
        <v>10</v>
      </c>
      <c r="E38" s="95">
        <v>0.8</v>
      </c>
      <c r="F38" s="96"/>
      <c r="G38" s="97"/>
      <c r="H38" s="97"/>
      <c r="I38" s="96"/>
      <c r="J38" s="97"/>
      <c r="K38" s="97"/>
      <c r="L38" s="97"/>
      <c r="M38" s="97"/>
      <c r="N38" s="97"/>
      <c r="O38" s="97"/>
      <c r="P38" s="99"/>
      <c r="Q38" s="97"/>
      <c r="R38" s="96"/>
      <c r="S38" s="97"/>
      <c r="T38" s="97"/>
      <c r="U38" s="97"/>
      <c r="V38" s="194"/>
      <c r="W38" s="99"/>
      <c r="X38" s="100"/>
      <c r="Y38" s="97"/>
      <c r="Z38" s="97"/>
      <c r="AA38" s="101"/>
      <c r="AB38" s="101" t="e">
        <v>#REF!</v>
      </c>
      <c r="AC38" s="101"/>
      <c r="AD38" s="101"/>
      <c r="AE38" s="101">
        <v>16</v>
      </c>
      <c r="AF38" s="101"/>
      <c r="AG38" s="102">
        <v>0</v>
      </c>
      <c r="AH38" s="278">
        <v>8</v>
      </c>
      <c r="AI38" s="278">
        <v>8</v>
      </c>
      <c r="AJ38" s="279">
        <v>8</v>
      </c>
      <c r="AK38" s="279">
        <v>24</v>
      </c>
      <c r="AL38" s="279">
        <v>-182.4</v>
      </c>
      <c r="AM38" s="279">
        <v>8</v>
      </c>
      <c r="AN38" s="279">
        <v>8</v>
      </c>
      <c r="AO38" s="279">
        <v>8</v>
      </c>
      <c r="AP38" s="279">
        <v>24</v>
      </c>
      <c r="AQ38" s="279">
        <v>-368</v>
      </c>
      <c r="AR38" s="321">
        <v>48</v>
      </c>
      <c r="AS38" s="281">
        <v>-550.4</v>
      </c>
    </row>
    <row r="39" spans="1:45" x14ac:dyDescent="0.25">
      <c r="A39" s="193"/>
      <c r="B39" s="103"/>
      <c r="C39" s="104" t="s">
        <v>41</v>
      </c>
      <c r="D39" s="104">
        <v>10</v>
      </c>
      <c r="E39" s="208">
        <v>0.8</v>
      </c>
      <c r="F39" s="106"/>
      <c r="G39" s="107"/>
      <c r="H39" s="107"/>
      <c r="I39" s="106"/>
      <c r="J39" s="107"/>
      <c r="K39" s="107"/>
      <c r="L39" s="107"/>
      <c r="M39" s="107"/>
      <c r="N39" s="107"/>
      <c r="O39" s="107"/>
      <c r="P39" s="109"/>
      <c r="Q39" s="107"/>
      <c r="R39" s="106"/>
      <c r="S39" s="107"/>
      <c r="T39" s="107"/>
      <c r="U39" s="107"/>
      <c r="V39" s="195"/>
      <c r="W39" s="109"/>
      <c r="X39" s="110"/>
      <c r="Y39" s="107"/>
      <c r="Z39" s="107"/>
      <c r="AA39" s="111"/>
      <c r="AB39" s="111" t="e">
        <v>#REF!</v>
      </c>
      <c r="AC39" s="111">
        <v>8</v>
      </c>
      <c r="AD39" s="111">
        <v>8</v>
      </c>
      <c r="AE39" s="111">
        <v>8</v>
      </c>
      <c r="AF39" s="111">
        <v>24</v>
      </c>
      <c r="AG39" s="112">
        <v>24</v>
      </c>
      <c r="AH39" s="282">
        <v>8</v>
      </c>
      <c r="AI39" s="282">
        <v>8</v>
      </c>
      <c r="AJ39" s="283">
        <v>8</v>
      </c>
      <c r="AK39" s="283">
        <v>24</v>
      </c>
      <c r="AL39" s="283">
        <v>-182.4</v>
      </c>
      <c r="AM39" s="283">
        <v>8</v>
      </c>
      <c r="AN39" s="283">
        <v>8</v>
      </c>
      <c r="AO39" s="283">
        <v>8</v>
      </c>
      <c r="AP39" s="283">
        <v>24</v>
      </c>
      <c r="AQ39" s="283">
        <v>-368</v>
      </c>
      <c r="AR39" s="323">
        <v>72</v>
      </c>
      <c r="AS39" s="285">
        <v>-526.4</v>
      </c>
    </row>
    <row r="40" spans="1:45" x14ac:dyDescent="0.25">
      <c r="A40" s="193"/>
      <c r="B40" s="81" t="s">
        <v>58</v>
      </c>
      <c r="C40" s="83" t="s">
        <v>33</v>
      </c>
      <c r="D40" s="83">
        <v>10</v>
      </c>
      <c r="E40" s="84">
        <v>0.9</v>
      </c>
      <c r="F40" s="85"/>
      <c r="G40" s="86"/>
      <c r="H40" s="86"/>
      <c r="I40" s="85"/>
      <c r="J40" s="86"/>
      <c r="K40" s="86"/>
      <c r="L40" s="86"/>
      <c r="M40" s="86"/>
      <c r="N40" s="86"/>
      <c r="O40" s="86"/>
      <c r="P40" s="88"/>
      <c r="Q40" s="86"/>
      <c r="R40" s="85"/>
      <c r="S40" s="86"/>
      <c r="T40" s="86"/>
      <c r="U40" s="86"/>
      <c r="V40" s="206"/>
      <c r="W40" s="88"/>
      <c r="X40" s="89"/>
      <c r="Y40" s="86"/>
      <c r="Z40" s="86"/>
      <c r="AA40" s="90"/>
      <c r="AB40" s="90" t="e">
        <v>#REF!</v>
      </c>
      <c r="AC40" s="90">
        <v>10</v>
      </c>
      <c r="AD40" s="90">
        <v>10</v>
      </c>
      <c r="AE40" s="90">
        <v>10</v>
      </c>
      <c r="AF40" s="90">
        <v>30</v>
      </c>
      <c r="AG40" s="91">
        <v>30</v>
      </c>
      <c r="AH40" s="274">
        <v>10</v>
      </c>
      <c r="AI40" s="274">
        <v>10</v>
      </c>
      <c r="AJ40" s="274">
        <v>10</v>
      </c>
      <c r="AK40" s="275">
        <v>30</v>
      </c>
      <c r="AL40" s="275">
        <v>30</v>
      </c>
      <c r="AM40" s="275">
        <v>10</v>
      </c>
      <c r="AN40" s="275">
        <v>10</v>
      </c>
      <c r="AO40" s="275">
        <v>10</v>
      </c>
      <c r="AP40" s="275">
        <v>30</v>
      </c>
      <c r="AQ40" s="275">
        <v>-660</v>
      </c>
      <c r="AR40" s="328">
        <v>90</v>
      </c>
      <c r="AS40" s="277">
        <v>-600</v>
      </c>
    </row>
    <row r="41" spans="1:45" x14ac:dyDescent="0.25">
      <c r="A41" s="193"/>
      <c r="B41" s="92"/>
      <c r="C41" s="94" t="s">
        <v>29</v>
      </c>
      <c r="D41" s="94">
        <v>10</v>
      </c>
      <c r="E41" s="95">
        <v>0.9</v>
      </c>
      <c r="F41" s="96"/>
      <c r="G41" s="97"/>
      <c r="H41" s="97"/>
      <c r="I41" s="96"/>
      <c r="J41" s="97"/>
      <c r="K41" s="97"/>
      <c r="L41" s="97"/>
      <c r="M41" s="97"/>
      <c r="N41" s="97"/>
      <c r="O41" s="97"/>
      <c r="P41" s="99"/>
      <c r="Q41" s="97"/>
      <c r="R41" s="96"/>
      <c r="S41" s="97"/>
      <c r="T41" s="97"/>
      <c r="U41" s="97"/>
      <c r="V41" s="194"/>
      <c r="W41" s="99"/>
      <c r="X41" s="100"/>
      <c r="Y41" s="97"/>
      <c r="Z41" s="97"/>
      <c r="AA41" s="101"/>
      <c r="AB41" s="101" t="e">
        <v>#REF!</v>
      </c>
      <c r="AC41" s="101">
        <v>10</v>
      </c>
      <c r="AD41" s="101">
        <v>10</v>
      </c>
      <c r="AE41" s="101">
        <v>10</v>
      </c>
      <c r="AF41" s="101">
        <v>30</v>
      </c>
      <c r="AG41" s="102">
        <v>30</v>
      </c>
      <c r="AH41" s="278">
        <v>10</v>
      </c>
      <c r="AI41" s="278">
        <v>10</v>
      </c>
      <c r="AJ41" s="278">
        <v>10</v>
      </c>
      <c r="AK41" s="279">
        <v>30</v>
      </c>
      <c r="AL41" s="279">
        <v>30</v>
      </c>
      <c r="AM41" s="279">
        <v>10</v>
      </c>
      <c r="AN41" s="279">
        <v>10</v>
      </c>
      <c r="AO41" s="279">
        <v>10</v>
      </c>
      <c r="AP41" s="279">
        <v>30</v>
      </c>
      <c r="AQ41" s="279">
        <v>-660</v>
      </c>
      <c r="AR41" s="321">
        <v>90</v>
      </c>
      <c r="AS41" s="281">
        <v>-600</v>
      </c>
    </row>
    <row r="42" spans="1:45" x14ac:dyDescent="0.25">
      <c r="A42" s="193"/>
      <c r="B42" s="92"/>
      <c r="C42" s="94" t="s">
        <v>41</v>
      </c>
      <c r="D42" s="94">
        <v>10</v>
      </c>
      <c r="E42" s="95">
        <v>0.8</v>
      </c>
      <c r="F42" s="96"/>
      <c r="G42" s="97"/>
      <c r="H42" s="97"/>
      <c r="I42" s="96"/>
      <c r="J42" s="97"/>
      <c r="K42" s="97"/>
      <c r="L42" s="97"/>
      <c r="M42" s="97"/>
      <c r="N42" s="97"/>
      <c r="O42" s="97"/>
      <c r="P42" s="99"/>
      <c r="Q42" s="97"/>
      <c r="R42" s="96"/>
      <c r="S42" s="97"/>
      <c r="T42" s="97"/>
      <c r="U42" s="97"/>
      <c r="V42" s="194"/>
      <c r="W42" s="99"/>
      <c r="X42" s="100"/>
      <c r="Y42" s="97"/>
      <c r="Z42" s="97"/>
      <c r="AA42" s="101"/>
      <c r="AB42" s="101" t="e">
        <v>#REF!</v>
      </c>
      <c r="AC42" s="101">
        <v>10</v>
      </c>
      <c r="AD42" s="101">
        <v>10</v>
      </c>
      <c r="AE42" s="101">
        <v>10</v>
      </c>
      <c r="AF42" s="101">
        <v>30</v>
      </c>
      <c r="AG42" s="102">
        <v>30</v>
      </c>
      <c r="AH42" s="278">
        <v>10</v>
      </c>
      <c r="AI42" s="278">
        <v>10</v>
      </c>
      <c r="AJ42" s="278">
        <v>10</v>
      </c>
      <c r="AK42" s="279">
        <v>30</v>
      </c>
      <c r="AL42" s="279">
        <v>30</v>
      </c>
      <c r="AM42" s="279">
        <v>10</v>
      </c>
      <c r="AN42" s="279">
        <v>10</v>
      </c>
      <c r="AO42" s="279">
        <v>10</v>
      </c>
      <c r="AP42" s="279">
        <v>30</v>
      </c>
      <c r="AQ42" s="279">
        <v>-660</v>
      </c>
      <c r="AR42" s="321">
        <v>90</v>
      </c>
      <c r="AS42" s="281">
        <v>-600</v>
      </c>
    </row>
    <row r="43" spans="1:45" x14ac:dyDescent="0.25">
      <c r="A43" s="193"/>
      <c r="B43" s="103"/>
      <c r="C43" s="104" t="s">
        <v>49</v>
      </c>
      <c r="D43" s="104">
        <v>10</v>
      </c>
      <c r="E43" s="105">
        <v>0.5</v>
      </c>
      <c r="F43" s="106"/>
      <c r="G43" s="107"/>
      <c r="H43" s="107"/>
      <c r="I43" s="106"/>
      <c r="J43" s="107"/>
      <c r="K43" s="107"/>
      <c r="L43" s="107"/>
      <c r="M43" s="107"/>
      <c r="N43" s="107"/>
      <c r="O43" s="107"/>
      <c r="P43" s="109"/>
      <c r="Q43" s="107"/>
      <c r="R43" s="106"/>
      <c r="S43" s="107"/>
      <c r="T43" s="107"/>
      <c r="U43" s="107"/>
      <c r="V43" s="195"/>
      <c r="W43" s="109"/>
      <c r="X43" s="110"/>
      <c r="Y43" s="107"/>
      <c r="Z43" s="107"/>
      <c r="AA43" s="111"/>
      <c r="AB43" s="111" t="e">
        <v>#REF!</v>
      </c>
      <c r="AC43" s="111">
        <v>10</v>
      </c>
      <c r="AD43" s="111">
        <v>10</v>
      </c>
      <c r="AE43" s="111">
        <v>10</v>
      </c>
      <c r="AF43" s="111">
        <v>30</v>
      </c>
      <c r="AG43" s="112">
        <v>30</v>
      </c>
      <c r="AH43" s="282">
        <v>10</v>
      </c>
      <c r="AI43" s="282">
        <v>10</v>
      </c>
      <c r="AJ43" s="282">
        <v>10</v>
      </c>
      <c r="AK43" s="283">
        <v>30</v>
      </c>
      <c r="AL43" s="283">
        <v>30</v>
      </c>
      <c r="AM43" s="283">
        <v>10</v>
      </c>
      <c r="AN43" s="283">
        <v>10</v>
      </c>
      <c r="AO43" s="283">
        <v>10</v>
      </c>
      <c r="AP43" s="283">
        <v>30</v>
      </c>
      <c r="AQ43" s="283">
        <v>-660</v>
      </c>
      <c r="AR43" s="323">
        <v>90</v>
      </c>
      <c r="AS43" s="285">
        <v>-600</v>
      </c>
    </row>
    <row r="44" spans="1:45" x14ac:dyDescent="0.25">
      <c r="A44" s="193"/>
      <c r="B44" s="81" t="s">
        <v>59</v>
      </c>
      <c r="C44" s="156" t="s">
        <v>60</v>
      </c>
      <c r="D44" s="156"/>
      <c r="E44" s="157"/>
      <c r="F44" s="158">
        <f>SUM(F31,F36,F40,F41)</f>
        <v>1858</v>
      </c>
      <c r="G44" s="159">
        <f t="shared" ref="G44:H44" si="15">SUM(G31,G36,G40,G41)</f>
        <v>0</v>
      </c>
      <c r="H44" s="159">
        <f t="shared" si="15"/>
        <v>2383.5</v>
      </c>
      <c r="I44" s="209">
        <f t="shared" ref="I44:I46" si="16">SUM(F44:H44)</f>
        <v>4241.5</v>
      </c>
      <c r="J44" s="159" t="e">
        <f t="shared" ref="J44:L44" si="17">SUM(J31,J36,J40,J41)</f>
        <v>#REF!</v>
      </c>
      <c r="K44" s="159" t="e">
        <f t="shared" si="17"/>
        <v>#REF!</v>
      </c>
      <c r="L44" s="159" t="e">
        <f t="shared" si="17"/>
        <v>#REF!</v>
      </c>
      <c r="M44" s="87" t="e">
        <f t="shared" ref="M44:M46" si="18">SUM(J44:L44)</f>
        <v>#REF!</v>
      </c>
      <c r="N44" s="159" t="e">
        <f t="shared" ref="N44:P44" si="19">SUM(N31,N36,N40,N41)</f>
        <v>#REF!</v>
      </c>
      <c r="O44" s="159" t="e">
        <f t="shared" si="19"/>
        <v>#REF!</v>
      </c>
      <c r="P44" s="160" t="e">
        <f t="shared" si="19"/>
        <v>#REF!</v>
      </c>
      <c r="Q44" s="87" t="e">
        <f t="shared" ref="Q44:Q46" si="20">SUM(N44:P44)</f>
        <v>#REF!</v>
      </c>
      <c r="R44" s="158" t="e">
        <f t="shared" ref="R44:T44" si="21">SUM(R31,R36,R40,R41)</f>
        <v>#REF!</v>
      </c>
      <c r="S44" s="159" t="e">
        <f t="shared" si="21"/>
        <v>#REF!</v>
      </c>
      <c r="T44" s="159" t="e">
        <f t="shared" si="21"/>
        <v>#REF!</v>
      </c>
      <c r="U44" s="87" t="e">
        <f t="shared" ref="U44:U46" si="22">SUM(R44:T44)</f>
        <v>#REF!</v>
      </c>
      <c r="V44" s="87" t="e">
        <f>I44+M44+Q44+U44</f>
        <v>#REF!</v>
      </c>
      <c r="W44" s="160"/>
      <c r="X44" s="161">
        <v>9.5</v>
      </c>
      <c r="Y44" s="159">
        <v>9.5</v>
      </c>
      <c r="Z44" s="159">
        <v>9.5</v>
      </c>
      <c r="AA44" s="162">
        <v>28.5</v>
      </c>
      <c r="AB44" s="162" t="e">
        <v>#REF!</v>
      </c>
      <c r="AC44" s="162">
        <v>38.5</v>
      </c>
      <c r="AD44" s="162">
        <v>38.5</v>
      </c>
      <c r="AE44" s="162">
        <v>38.5</v>
      </c>
      <c r="AF44" s="162">
        <v>115.5</v>
      </c>
      <c r="AG44" s="163">
        <v>87</v>
      </c>
      <c r="AH44" s="309">
        <v>47.5</v>
      </c>
      <c r="AI44" s="310">
        <v>47.5</v>
      </c>
      <c r="AJ44" s="310">
        <v>47.5</v>
      </c>
      <c r="AK44" s="310">
        <v>142.5</v>
      </c>
      <c r="AL44" s="311">
        <v>-350.40000000000003</v>
      </c>
      <c r="AM44" s="310">
        <v>47.5</v>
      </c>
      <c r="AN44" s="310">
        <v>47.5</v>
      </c>
      <c r="AO44" s="310">
        <v>47.5</v>
      </c>
      <c r="AP44" s="310">
        <v>142.5</v>
      </c>
      <c r="AQ44" s="310">
        <v>-2148</v>
      </c>
      <c r="AR44" s="276">
        <v>429</v>
      </c>
      <c r="AS44" s="277">
        <v>-2411.4</v>
      </c>
    </row>
    <row r="45" spans="1:45" x14ac:dyDescent="0.25">
      <c r="A45" s="193"/>
      <c r="B45" s="207"/>
      <c r="C45" s="165" t="s">
        <v>61</v>
      </c>
      <c r="D45" s="165"/>
      <c r="E45" s="166"/>
      <c r="F45" s="167">
        <f>SUM(F32,F33,F39,F42,F43)</f>
        <v>1716.4380952380952</v>
      </c>
      <c r="G45" s="168">
        <f t="shared" ref="G45:H45" si="23">SUM(G32,G33,G39,G42,G43)</f>
        <v>0</v>
      </c>
      <c r="H45" s="168">
        <f t="shared" si="23"/>
        <v>2201.9</v>
      </c>
      <c r="I45" s="210">
        <f t="shared" si="16"/>
        <v>3918.3380952380953</v>
      </c>
      <c r="J45" s="168" t="e">
        <f t="shared" ref="J45:L45" si="24">SUM(J32,J33,J39,J42,J43)</f>
        <v>#REF!</v>
      </c>
      <c r="K45" s="168" t="e">
        <f t="shared" si="24"/>
        <v>#REF!</v>
      </c>
      <c r="L45" s="168" t="e">
        <f t="shared" si="24"/>
        <v>#REF!</v>
      </c>
      <c r="M45" s="98" t="e">
        <f t="shared" si="18"/>
        <v>#REF!</v>
      </c>
      <c r="N45" s="168" t="e">
        <f t="shared" ref="N45:P45" si="25">SUM(N32,N33,N39,N42,N43)</f>
        <v>#REF!</v>
      </c>
      <c r="O45" s="168" t="e">
        <f t="shared" si="25"/>
        <v>#REF!</v>
      </c>
      <c r="P45" s="169" t="e">
        <f t="shared" si="25"/>
        <v>#REF!</v>
      </c>
      <c r="Q45" s="98" t="e">
        <f t="shared" si="20"/>
        <v>#REF!</v>
      </c>
      <c r="R45" s="167" t="e">
        <f t="shared" ref="R45:T45" si="26">SUM(R32,R33,R39,R42,R43)</f>
        <v>#REF!</v>
      </c>
      <c r="S45" s="168" t="e">
        <f t="shared" si="26"/>
        <v>#REF!</v>
      </c>
      <c r="T45" s="168" t="e">
        <f t="shared" si="26"/>
        <v>#REF!</v>
      </c>
      <c r="U45" s="98" t="e">
        <f t="shared" si="22"/>
        <v>#REF!</v>
      </c>
      <c r="V45" s="98" t="e">
        <f t="shared" ref="V45:V46" si="27">I45+M45+Q45+U45</f>
        <v>#REF!</v>
      </c>
      <c r="W45" s="169"/>
      <c r="X45" s="170">
        <v>7</v>
      </c>
      <c r="Y45" s="168">
        <v>7</v>
      </c>
      <c r="Z45" s="168">
        <v>7</v>
      </c>
      <c r="AA45" s="171">
        <v>21</v>
      </c>
      <c r="AB45" s="171" t="e">
        <v>#REF!</v>
      </c>
      <c r="AC45" s="171">
        <v>35</v>
      </c>
      <c r="AD45" s="171">
        <v>35</v>
      </c>
      <c r="AE45" s="171">
        <v>35</v>
      </c>
      <c r="AF45" s="171">
        <v>105</v>
      </c>
      <c r="AG45" s="172">
        <v>84</v>
      </c>
      <c r="AH45" s="312">
        <v>43</v>
      </c>
      <c r="AI45" s="313">
        <v>43</v>
      </c>
      <c r="AJ45" s="313">
        <v>43</v>
      </c>
      <c r="AK45" s="313">
        <v>129</v>
      </c>
      <c r="AL45" s="329">
        <v>-304.8</v>
      </c>
      <c r="AM45" s="313">
        <v>43</v>
      </c>
      <c r="AN45" s="313">
        <v>43</v>
      </c>
      <c r="AO45" s="313">
        <v>43</v>
      </c>
      <c r="AP45" s="313">
        <v>129</v>
      </c>
      <c r="AQ45" s="313">
        <v>-2056</v>
      </c>
      <c r="AR45" s="280">
        <v>384</v>
      </c>
      <c r="AS45" s="281">
        <v>-2276.8000000000002</v>
      </c>
    </row>
    <row r="46" spans="1:45" ht="17.25" thickBot="1" x14ac:dyDescent="0.3">
      <c r="A46" s="211"/>
      <c r="B46" s="212"/>
      <c r="C46" s="213" t="s">
        <v>62</v>
      </c>
      <c r="D46" s="213"/>
      <c r="E46" s="214"/>
      <c r="F46" s="215">
        <f>SUM(F34,F35)</f>
        <v>1185.5809523809526</v>
      </c>
      <c r="G46" s="216">
        <f t="shared" ref="G46:H46" si="28">SUM(G34,G35)</f>
        <v>0</v>
      </c>
      <c r="H46" s="216">
        <f t="shared" si="28"/>
        <v>1520.8999999999999</v>
      </c>
      <c r="I46" s="217">
        <f t="shared" si="16"/>
        <v>2706.4809523809527</v>
      </c>
      <c r="J46" s="216" t="e">
        <f t="shared" ref="J46:L46" si="29">SUM(J34,J35)</f>
        <v>#REF!</v>
      </c>
      <c r="K46" s="216" t="e">
        <f t="shared" si="29"/>
        <v>#REF!</v>
      </c>
      <c r="L46" s="216" t="e">
        <f t="shared" si="29"/>
        <v>#REF!</v>
      </c>
      <c r="M46" s="218" t="e">
        <f t="shared" si="18"/>
        <v>#REF!</v>
      </c>
      <c r="N46" s="216" t="e">
        <f t="shared" ref="N46:P46" si="30">SUM(N34,N35)</f>
        <v>#REF!</v>
      </c>
      <c r="O46" s="216" t="e">
        <f t="shared" si="30"/>
        <v>#REF!</v>
      </c>
      <c r="P46" s="219" t="e">
        <f t="shared" si="30"/>
        <v>#REF!</v>
      </c>
      <c r="Q46" s="218" t="e">
        <f t="shared" si="20"/>
        <v>#REF!</v>
      </c>
      <c r="R46" s="215" t="e">
        <f t="shared" ref="R46:T46" si="31">SUM(R34,R35)</f>
        <v>#REF!</v>
      </c>
      <c r="S46" s="216" t="e">
        <f t="shared" si="31"/>
        <v>#REF!</v>
      </c>
      <c r="T46" s="216" t="e">
        <f t="shared" si="31"/>
        <v>#REF!</v>
      </c>
      <c r="U46" s="218" t="e">
        <f t="shared" si="22"/>
        <v>#REF!</v>
      </c>
      <c r="V46" s="218" t="e">
        <f t="shared" si="27"/>
        <v>#REF!</v>
      </c>
      <c r="W46" s="219"/>
      <c r="X46" s="220">
        <v>8</v>
      </c>
      <c r="Y46" s="216">
        <v>8</v>
      </c>
      <c r="Z46" s="216">
        <v>8</v>
      </c>
      <c r="AA46" s="221">
        <v>24</v>
      </c>
      <c r="AB46" s="221" t="e">
        <v>#REF!</v>
      </c>
      <c r="AC46" s="221">
        <v>16</v>
      </c>
      <c r="AD46" s="221">
        <v>16</v>
      </c>
      <c r="AE46" s="221">
        <v>16</v>
      </c>
      <c r="AF46" s="221">
        <v>48</v>
      </c>
      <c r="AG46" s="222">
        <v>24</v>
      </c>
      <c r="AH46" s="330">
        <v>16</v>
      </c>
      <c r="AI46" s="331">
        <v>16</v>
      </c>
      <c r="AJ46" s="331">
        <v>16</v>
      </c>
      <c r="AK46" s="331">
        <v>48</v>
      </c>
      <c r="AL46" s="332">
        <v>23.980000000000004</v>
      </c>
      <c r="AM46" s="331">
        <v>18</v>
      </c>
      <c r="AN46" s="331">
        <v>18</v>
      </c>
      <c r="AO46" s="331">
        <v>18</v>
      </c>
      <c r="AP46" s="331">
        <v>54</v>
      </c>
      <c r="AQ46" s="332">
        <v>0</v>
      </c>
      <c r="AR46" s="333">
        <v>174</v>
      </c>
      <c r="AS46" s="334">
        <v>47.980000000000004</v>
      </c>
    </row>
    <row r="47" spans="1:45" x14ac:dyDescent="0.25">
      <c r="A47" s="223" t="s">
        <v>63</v>
      </c>
      <c r="B47" s="183"/>
      <c r="C47" s="224" t="s">
        <v>60</v>
      </c>
      <c r="D47" s="224"/>
      <c r="E47" s="225"/>
      <c r="F47" s="226" t="e">
        <f t="shared" ref="F47:H49" ca="1" si="32">F28+F44</f>
        <v>#REF!</v>
      </c>
      <c r="G47" s="227" t="e">
        <f t="shared" ca="1" si="32"/>
        <v>#REF!</v>
      </c>
      <c r="H47" s="227" t="e">
        <f t="shared" ca="1" si="32"/>
        <v>#REF!</v>
      </c>
      <c r="I47" s="228" t="e">
        <f ca="1">SUM(F47:H47)</f>
        <v>#REF!</v>
      </c>
      <c r="J47" s="227" t="e">
        <f t="shared" ref="J47:L49" ca="1" si="33">J28+J44</f>
        <v>#REF!</v>
      </c>
      <c r="K47" s="227" t="e">
        <f t="shared" ca="1" si="33"/>
        <v>#REF!</v>
      </c>
      <c r="L47" s="227" t="e">
        <f t="shared" ca="1" si="33"/>
        <v>#REF!</v>
      </c>
      <c r="M47" s="228" t="e">
        <f ca="1">SUM(J47:L47)</f>
        <v>#REF!</v>
      </c>
      <c r="N47" s="227" t="e">
        <f t="shared" ref="N47:P49" ca="1" si="34">N28+N44</f>
        <v>#REF!</v>
      </c>
      <c r="O47" s="227" t="e">
        <f t="shared" ca="1" si="34"/>
        <v>#REF!</v>
      </c>
      <c r="P47" s="227" t="e">
        <f t="shared" ca="1" si="34"/>
        <v>#REF!</v>
      </c>
      <c r="Q47" s="228" t="e">
        <f ca="1">SUM(N47:P47)</f>
        <v>#REF!</v>
      </c>
      <c r="R47" s="227" t="e">
        <f t="shared" ref="R47:T49" ca="1" si="35">R28+R44</f>
        <v>#REF!</v>
      </c>
      <c r="S47" s="227" t="e">
        <f t="shared" ca="1" si="35"/>
        <v>#REF!</v>
      </c>
      <c r="T47" s="227" t="e">
        <f t="shared" ca="1" si="35"/>
        <v>#REF!</v>
      </c>
      <c r="U47" s="228" t="e">
        <f ca="1">SUM(R47:T47)</f>
        <v>#REF!</v>
      </c>
      <c r="V47" s="228" t="e">
        <f ca="1">I47+M47+Q47+U47</f>
        <v>#REF!</v>
      </c>
      <c r="W47" s="229" t="e">
        <f>W28+W44</f>
        <v>#REF!</v>
      </c>
      <c r="X47" s="230">
        <v>84.5</v>
      </c>
      <c r="Y47" s="227">
        <v>84.5</v>
      </c>
      <c r="Z47" s="227">
        <v>84.5</v>
      </c>
      <c r="AA47" s="231">
        <v>253.5</v>
      </c>
      <c r="AB47" s="231" t="e">
        <v>#REF!</v>
      </c>
      <c r="AC47" s="231">
        <v>144.5</v>
      </c>
      <c r="AD47" s="231">
        <v>144.5</v>
      </c>
      <c r="AE47" s="231">
        <v>144.5</v>
      </c>
      <c r="AF47" s="231">
        <v>433.5</v>
      </c>
      <c r="AG47" s="232">
        <v>87</v>
      </c>
      <c r="AH47" s="335">
        <v>153.5</v>
      </c>
      <c r="AI47" s="336">
        <v>153.5</v>
      </c>
      <c r="AJ47" s="336">
        <v>151.5</v>
      </c>
      <c r="AK47" s="336">
        <v>458.5</v>
      </c>
      <c r="AL47" s="337">
        <v>-350.40000000000009</v>
      </c>
      <c r="AM47" s="336">
        <v>151.5</v>
      </c>
      <c r="AN47" s="336">
        <v>151.5</v>
      </c>
      <c r="AO47" s="336">
        <v>151.5</v>
      </c>
      <c r="AP47" s="336">
        <v>454.5</v>
      </c>
      <c r="AQ47" s="336">
        <v>-2148</v>
      </c>
      <c r="AR47" s="338">
        <v>1600</v>
      </c>
      <c r="AS47" s="339">
        <v>-2411.4</v>
      </c>
    </row>
    <row r="48" spans="1:45" x14ac:dyDescent="0.25">
      <c r="A48" s="233"/>
      <c r="B48" s="207"/>
      <c r="C48" s="165" t="s">
        <v>61</v>
      </c>
      <c r="D48" s="165"/>
      <c r="E48" s="166"/>
      <c r="F48" s="167" t="e">
        <f t="shared" ca="1" si="32"/>
        <v>#REF!</v>
      </c>
      <c r="G48" s="168" t="e">
        <f t="shared" ca="1" si="32"/>
        <v>#REF!</v>
      </c>
      <c r="H48" s="168" t="e">
        <f t="shared" ca="1" si="32"/>
        <v>#REF!</v>
      </c>
      <c r="I48" s="98" t="e">
        <f t="shared" ref="I48:I49" ca="1" si="36">SUM(F48:H48)</f>
        <v>#REF!</v>
      </c>
      <c r="J48" s="168" t="e">
        <f t="shared" ca="1" si="33"/>
        <v>#REF!</v>
      </c>
      <c r="K48" s="168" t="e">
        <f t="shared" ca="1" si="33"/>
        <v>#REF!</v>
      </c>
      <c r="L48" s="168" t="e">
        <f t="shared" ca="1" si="33"/>
        <v>#REF!</v>
      </c>
      <c r="M48" s="98" t="e">
        <f t="shared" ref="M48:M49" ca="1" si="37">SUM(J48:L48)</f>
        <v>#REF!</v>
      </c>
      <c r="N48" s="168" t="e">
        <f t="shared" ca="1" si="34"/>
        <v>#REF!</v>
      </c>
      <c r="O48" s="168" t="e">
        <f t="shared" ca="1" si="34"/>
        <v>#REF!</v>
      </c>
      <c r="P48" s="168" t="e">
        <f t="shared" ca="1" si="34"/>
        <v>#REF!</v>
      </c>
      <c r="Q48" s="98" t="e">
        <f t="shared" ref="Q48:Q49" ca="1" si="38">SUM(N48:P48)</f>
        <v>#REF!</v>
      </c>
      <c r="R48" s="168" t="e">
        <f t="shared" ca="1" si="35"/>
        <v>#REF!</v>
      </c>
      <c r="S48" s="168" t="e">
        <f t="shared" ca="1" si="35"/>
        <v>#REF!</v>
      </c>
      <c r="T48" s="168" t="e">
        <f t="shared" ca="1" si="35"/>
        <v>#REF!</v>
      </c>
      <c r="U48" s="98" t="e">
        <f t="shared" ref="U48:U49" ca="1" si="39">SUM(R48:T48)</f>
        <v>#REF!</v>
      </c>
      <c r="V48" s="98" t="e">
        <f t="shared" ref="V48:V49" ca="1" si="40">I48+M48+Q48+U48</f>
        <v>#REF!</v>
      </c>
      <c r="W48" s="169" t="e">
        <f>W29+W45</f>
        <v>#REF!</v>
      </c>
      <c r="X48" s="170">
        <v>72</v>
      </c>
      <c r="Y48" s="168">
        <v>72</v>
      </c>
      <c r="Z48" s="168">
        <v>82</v>
      </c>
      <c r="AA48" s="171">
        <v>226</v>
      </c>
      <c r="AB48" s="171" t="e">
        <v>#REF!</v>
      </c>
      <c r="AC48" s="171">
        <v>133</v>
      </c>
      <c r="AD48" s="171">
        <v>170</v>
      </c>
      <c r="AE48" s="171">
        <v>230</v>
      </c>
      <c r="AF48" s="171">
        <v>533</v>
      </c>
      <c r="AG48" s="172">
        <v>114</v>
      </c>
      <c r="AH48" s="312">
        <v>198</v>
      </c>
      <c r="AI48" s="313">
        <v>248</v>
      </c>
      <c r="AJ48" s="313">
        <v>148</v>
      </c>
      <c r="AK48" s="313">
        <v>594</v>
      </c>
      <c r="AL48" s="329">
        <v>-244.79999999999995</v>
      </c>
      <c r="AM48" s="313">
        <v>148</v>
      </c>
      <c r="AN48" s="313">
        <v>148</v>
      </c>
      <c r="AO48" s="313">
        <v>148</v>
      </c>
      <c r="AP48" s="313">
        <v>444</v>
      </c>
      <c r="AQ48" s="313">
        <v>-1996</v>
      </c>
      <c r="AR48" s="280">
        <v>1797</v>
      </c>
      <c r="AS48" s="281">
        <v>-2096.8000000000002</v>
      </c>
    </row>
    <row r="49" spans="1:45" ht="17.25" thickBot="1" x14ac:dyDescent="0.3">
      <c r="A49" s="234"/>
      <c r="B49" s="235"/>
      <c r="C49" s="236" t="s">
        <v>62</v>
      </c>
      <c r="D49" s="236"/>
      <c r="E49" s="237"/>
      <c r="F49" s="238" t="e">
        <f t="shared" ca="1" si="32"/>
        <v>#REF!</v>
      </c>
      <c r="G49" s="239" t="e">
        <f t="shared" ca="1" si="32"/>
        <v>#REF!</v>
      </c>
      <c r="H49" s="239" t="e">
        <f t="shared" ca="1" si="32"/>
        <v>#REF!</v>
      </c>
      <c r="I49" s="240" t="e">
        <f t="shared" ca="1" si="36"/>
        <v>#REF!</v>
      </c>
      <c r="J49" s="239" t="e">
        <f t="shared" ca="1" si="33"/>
        <v>#REF!</v>
      </c>
      <c r="K49" s="239" t="e">
        <f t="shared" ca="1" si="33"/>
        <v>#REF!</v>
      </c>
      <c r="L49" s="239" t="e">
        <f t="shared" ca="1" si="33"/>
        <v>#REF!</v>
      </c>
      <c r="M49" s="240" t="e">
        <f t="shared" ca="1" si="37"/>
        <v>#REF!</v>
      </c>
      <c r="N49" s="239" t="e">
        <f t="shared" ca="1" si="34"/>
        <v>#REF!</v>
      </c>
      <c r="O49" s="239" t="e">
        <f t="shared" ca="1" si="34"/>
        <v>#REF!</v>
      </c>
      <c r="P49" s="239" t="e">
        <f t="shared" ca="1" si="34"/>
        <v>#REF!</v>
      </c>
      <c r="Q49" s="240" t="e">
        <f t="shared" ca="1" si="38"/>
        <v>#REF!</v>
      </c>
      <c r="R49" s="239" t="e">
        <f t="shared" ca="1" si="35"/>
        <v>#REF!</v>
      </c>
      <c r="S49" s="239" t="e">
        <f t="shared" ca="1" si="35"/>
        <v>#REF!</v>
      </c>
      <c r="T49" s="239" t="e">
        <f t="shared" ca="1" si="35"/>
        <v>#REF!</v>
      </c>
      <c r="U49" s="240" t="e">
        <f t="shared" ca="1" si="39"/>
        <v>#REF!</v>
      </c>
      <c r="V49" s="240" t="e">
        <f t="shared" ca="1" si="40"/>
        <v>#REF!</v>
      </c>
      <c r="W49" s="241" t="e">
        <f ca="1">W30+W46</f>
        <v>#REF!</v>
      </c>
      <c r="X49" s="242">
        <v>16</v>
      </c>
      <c r="Y49" s="239">
        <v>16</v>
      </c>
      <c r="Z49" s="239">
        <v>16</v>
      </c>
      <c r="AA49" s="243">
        <v>48</v>
      </c>
      <c r="AB49" s="243" t="e">
        <v>#REF!</v>
      </c>
      <c r="AC49" s="243">
        <v>24</v>
      </c>
      <c r="AD49" s="243">
        <v>24</v>
      </c>
      <c r="AE49" s="243">
        <v>24</v>
      </c>
      <c r="AF49" s="243">
        <v>72</v>
      </c>
      <c r="AG49" s="244">
        <v>24</v>
      </c>
      <c r="AH49" s="340">
        <v>32</v>
      </c>
      <c r="AI49" s="341">
        <v>32</v>
      </c>
      <c r="AJ49" s="341">
        <v>32</v>
      </c>
      <c r="AK49" s="341">
        <v>96</v>
      </c>
      <c r="AL49" s="342">
        <v>23.97999999999999</v>
      </c>
      <c r="AM49" s="341">
        <v>26</v>
      </c>
      <c r="AN49" s="341">
        <v>26</v>
      </c>
      <c r="AO49" s="341">
        <v>26</v>
      </c>
      <c r="AP49" s="341">
        <v>78</v>
      </c>
      <c r="AQ49" s="342">
        <v>0</v>
      </c>
      <c r="AR49" s="343">
        <v>294</v>
      </c>
      <c r="AS49" s="344">
        <v>47.97999999999999</v>
      </c>
    </row>
    <row r="50" spans="1:45" ht="17.25" thickTop="1" x14ac:dyDescent="0.25"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6"/>
      <c r="AB50" s="246"/>
      <c r="AC50" s="246"/>
      <c r="AD50" s="246"/>
      <c r="AE50" s="246"/>
      <c r="AF50" s="246"/>
      <c r="AG50" s="246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6"/>
      <c r="AS50" s="345"/>
    </row>
    <row r="51" spans="1:45" x14ac:dyDescent="0.25">
      <c r="X51" s="245"/>
      <c r="Y51" s="245"/>
      <c r="Z51" s="245"/>
      <c r="AA51" s="246"/>
      <c r="AB51" s="246"/>
      <c r="AC51" s="246"/>
      <c r="AD51" s="246"/>
      <c r="AE51" s="246"/>
      <c r="AF51" s="246"/>
      <c r="AG51" s="246"/>
      <c r="AH51" s="347"/>
      <c r="AI51" s="348"/>
      <c r="AJ51" s="347"/>
      <c r="AK51" s="347"/>
      <c r="AL51" s="347"/>
      <c r="AM51" s="347"/>
      <c r="AN51" s="347"/>
      <c r="AO51" s="347"/>
      <c r="AP51" s="347"/>
      <c r="AQ51" s="347"/>
      <c r="AR51" s="347"/>
      <c r="AS51" s="347"/>
    </row>
  </sheetData>
  <mergeCells count="30">
    <mergeCell ref="A47:A49"/>
    <mergeCell ref="B47:B49"/>
    <mergeCell ref="C47:E47"/>
    <mergeCell ref="C48:E48"/>
    <mergeCell ref="C49:E49"/>
    <mergeCell ref="X2:AS2"/>
    <mergeCell ref="A31:A46"/>
    <mergeCell ref="B31:B34"/>
    <mergeCell ref="B36:B39"/>
    <mergeCell ref="B40:B43"/>
    <mergeCell ref="B44:B46"/>
    <mergeCell ref="C44:E44"/>
    <mergeCell ref="C45:E45"/>
    <mergeCell ref="C46:E46"/>
    <mergeCell ref="B22:B23"/>
    <mergeCell ref="B24:B27"/>
    <mergeCell ref="B28:B30"/>
    <mergeCell ref="C28:E28"/>
    <mergeCell ref="C29:E29"/>
    <mergeCell ref="C30:E30"/>
    <mergeCell ref="A2:A3"/>
    <mergeCell ref="B2:C3"/>
    <mergeCell ref="F2:W2"/>
    <mergeCell ref="A4:A30"/>
    <mergeCell ref="B4:B5"/>
    <mergeCell ref="B6:B7"/>
    <mergeCell ref="B9:B11"/>
    <mergeCell ref="B12:B15"/>
    <mergeCell ref="B16:B17"/>
    <mergeCell ref="B19:B2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</cp:lastModifiedBy>
  <dcterms:created xsi:type="dcterms:W3CDTF">2026-06-26T00:21:27Z</dcterms:created>
  <dcterms:modified xsi:type="dcterms:W3CDTF">2026-06-26T00:23:21Z</dcterms:modified>
</cp:coreProperties>
</file>